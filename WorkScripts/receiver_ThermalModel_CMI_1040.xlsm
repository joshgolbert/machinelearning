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spoc_build\perf_and_phys_models\fmm_dubai\PerfModels\"/>
    </mc:Choice>
  </mc:AlternateContent>
  <bookViews>
    <workbookView xWindow="0" yWindow="0" windowWidth="28800" windowHeight="12360"/>
  </bookViews>
  <sheets>
    <sheet name="Design" sheetId="23" r:id="rId1"/>
    <sheet name="Interp." sheetId="3" state="hidden" r:id="rId2"/>
    <sheet name="Graph" sheetId="4" state="hidden" r:id="rId3"/>
    <sheet name="PipingK" sheetId="6" state="hidden" r:id="rId4"/>
    <sheet name="NoRadHL" sheetId="22" state="hidden" r:id="rId5"/>
  </sheets>
  <externalReferences>
    <externalReference r:id="rId6"/>
  </externalReferences>
  <definedNames>
    <definedName name="a">'[1]SEDCpilot - FluxFunction'!$D$11</definedName>
    <definedName name="ar">'[1]SEDCpilot - FluxFunction'!$D$3</definedName>
    <definedName name="Area">'[1]SEDCpilot - FluxFunction'!$D$6</definedName>
    <definedName name="AvCp" localSheetId="0">Design!$D$14</definedName>
    <definedName name="AvCp" localSheetId="4">NoRadHL!$D$14</definedName>
    <definedName name="AvFlux">'[1]SEDCpilot - FluxFunction'!$D$19</definedName>
    <definedName name="b">'[1]SEDCpilot - FluxFunction'!$D$12</definedName>
    <definedName name="ColdCp" localSheetId="0">Design!$D$12</definedName>
    <definedName name="ColdCp" localSheetId="4">NoRadHL!$D$12</definedName>
    <definedName name="DNIy">'[1]SEDCpilot - FluxFunction'!$K$12</definedName>
    <definedName name="DT" localSheetId="0">Design!$D$7</definedName>
    <definedName name="DT" localSheetId="4">NoRadHL!$D$7</definedName>
    <definedName name="ent_1">'[1]SEDCpilot - Recirc. - HighT'!$P$4</definedName>
    <definedName name="ent_2">'[1]SEDCpilot - Recirc. - HighT'!$Q$4</definedName>
    <definedName name="f_xy">'[1]SEDCpilot - FluxFunction'!$F$16</definedName>
    <definedName name="FlowRate">'[1]SEDCpilot - Recirc. - HighT'!$N$16</definedName>
    <definedName name="H" localSheetId="0">Design!$D$22</definedName>
    <definedName name="H" localSheetId="4">NoRadHL!$D$22</definedName>
    <definedName name="h" localSheetId="3">'[1]SEDCpilot - FluxFunction'!$D$5</definedName>
    <definedName name="HalfM" localSheetId="0">Design!#REF!</definedName>
    <definedName name="HalfM" localSheetId="4">NoRadHL!$D$17</definedName>
    <definedName name="HotCp" localSheetId="0">Design!$D$13</definedName>
    <definedName name="HotCp" localSheetId="4">NoRadHL!$D$13</definedName>
    <definedName name="ir">'[1]SEDCpilot - FluxFunction'!$D$10</definedName>
    <definedName name="mh">'[1]SEDCpilot - FluxFunction'!$L$5</definedName>
    <definedName name="Mtot" localSheetId="0">Design!$D$15</definedName>
    <definedName name="Mtot" localSheetId="4">NoRadHL!$D$16</definedName>
    <definedName name="mw">'[1]SEDCpilot - FluxFunction'!$L$4</definedName>
    <definedName name="NetPower">'[1]SEDCpilot - Recirc. - HighT'!$N$15</definedName>
    <definedName name="P" localSheetId="0">Design!$D$23</definedName>
    <definedName name="P" localSheetId="4">NoRadHL!$D$23</definedName>
    <definedName name="p" localSheetId="3">'[1]SEDCpilot - FluxFunction'!$D$9</definedName>
    <definedName name="Passes" localSheetId="0">Design!$D$25</definedName>
    <definedName name="Passes" localSheetId="4">NoRadHL!$D$25</definedName>
    <definedName name="Power">'[1]SEDCpilot - FluxFunction'!$D$18</definedName>
    <definedName name="Qtot" localSheetId="0">Design!$D$11</definedName>
    <definedName name="Qtot" localSheetId="4">NoRadHL!$D$11</definedName>
    <definedName name="ro_1">'[1]SEDCpilot - Recirc. - HighT'!$P$2</definedName>
    <definedName name="ro_2">'[1]SEDCpilot - Recirc. - HighT'!$Q$2</definedName>
    <definedName name="Tc" localSheetId="0">Design!$D$5</definedName>
    <definedName name="Tc" localSheetId="4">NoRadHL!$D$5</definedName>
    <definedName name="Th" localSheetId="0">Design!$D$6</definedName>
    <definedName name="Th" localSheetId="4">NoRadHL!$D$6</definedName>
    <definedName name="w">'[1]SEDCpilot - FluxFunction'!$D$4</definedName>
    <definedName name="x_ll">'[1]SEDCpilot - FluxFunction'!$C$34</definedName>
    <definedName name="x_lr">'[1]SEDCpilot - FluxFunction'!$H$34</definedName>
    <definedName name="x_ul">'[1]SEDCpilot - FluxFunction'!$C$24</definedName>
    <definedName name="x_ur">'[1]SEDCpilot - FluxFunction'!$H$24</definedName>
    <definedName name="xl">'[1]SEDCpilot - FluxFunction'!$D$14</definedName>
    <definedName name="xr">'[1]SEDCpilot - FluxFunction'!$H$14</definedName>
    <definedName name="y_ll">'[1]SEDCpilot - FluxFunction'!$D$34</definedName>
    <definedName name="y_lr">'[1]SEDCpilot - FluxFunction'!$I$34</definedName>
    <definedName name="y_ul">'[1]SEDCpilot - FluxFunction'!$D$24</definedName>
    <definedName name="y_ur">'[1]SEDCpilot - FluxFunction'!$I$24</definedName>
    <definedName name="yl">'[1]SEDCpilot - FluxFunction'!$D$15</definedName>
    <definedName name="yr">'[1]SEDCpilot - FluxFunction'!$H$15</definedName>
  </definedNames>
  <calcPr calcId="171027" calcMode="autoNoTable"/>
</workbook>
</file>

<file path=xl/calcChain.xml><?xml version="1.0" encoding="utf-8"?>
<calcChain xmlns="http://schemas.openxmlformats.org/spreadsheetml/2006/main">
  <c r="D17" i="23" l="1"/>
  <c r="M66" i="23" l="1"/>
  <c r="T47" i="23" l="1"/>
  <c r="U48" i="23" l="1"/>
  <c r="U47" i="23"/>
  <c r="U46" i="23"/>
  <c r="U45" i="23"/>
  <c r="U44" i="23"/>
  <c r="U43" i="23"/>
  <c r="I12" i="23" l="1"/>
  <c r="D20" i="23" l="1"/>
  <c r="D28" i="23" s="1"/>
  <c r="AO2" i="23" l="1"/>
  <c r="AV2" i="23" l="1"/>
  <c r="AU2" i="23"/>
  <c r="AT2" i="23"/>
  <c r="AS2" i="23"/>
  <c r="AR2" i="23"/>
  <c r="AL2" i="23"/>
  <c r="AM2" i="23"/>
  <c r="AN2" i="23"/>
  <c r="AK2" i="23"/>
  <c r="D21" i="23" l="1"/>
  <c r="H58" i="23"/>
  <c r="H59" i="23"/>
  <c r="P8" i="23"/>
  <c r="O8" i="23"/>
  <c r="N8" i="23"/>
  <c r="M8" i="23"/>
  <c r="L8" i="23"/>
  <c r="K8" i="23"/>
  <c r="J8" i="23"/>
  <c r="I8" i="23"/>
  <c r="D11" i="23"/>
  <c r="D10" i="23"/>
  <c r="D36" i="23" l="1"/>
  <c r="AH51" i="23"/>
  <c r="AL42" i="23"/>
  <c r="AL51" i="23"/>
  <c r="AK51" i="23"/>
  <c r="AJ51" i="23"/>
  <c r="AI51" i="23"/>
  <c r="U53" i="23" l="1"/>
  <c r="U54" i="23"/>
  <c r="U55" i="23"/>
  <c r="U56" i="23"/>
  <c r="AI42" i="23"/>
  <c r="AJ42" i="23"/>
  <c r="AK42" i="23"/>
  <c r="AH42" i="23"/>
  <c r="AC56" i="23" l="1"/>
  <c r="AI56" i="23" s="1"/>
  <c r="AF56" i="23"/>
  <c r="AL56" i="23" s="1"/>
  <c r="AB56" i="23"/>
  <c r="AH56" i="23" s="1"/>
  <c r="AE56" i="23"/>
  <c r="AK56" i="23" s="1"/>
  <c r="AD56" i="23"/>
  <c r="AJ56" i="23" s="1"/>
  <c r="AE55" i="23"/>
  <c r="AK55" i="23" s="1"/>
  <c r="AD55" i="23"/>
  <c r="AJ55" i="23" s="1"/>
  <c r="AC55" i="23"/>
  <c r="AI55" i="23" s="1"/>
  <c r="AF55" i="23"/>
  <c r="AL55" i="23" s="1"/>
  <c r="AB55" i="23"/>
  <c r="AH55" i="23" s="1"/>
  <c r="AD54" i="23"/>
  <c r="AJ54" i="23" s="1"/>
  <c r="AC54" i="23"/>
  <c r="AI54" i="23" s="1"/>
  <c r="AF54" i="23"/>
  <c r="AL54" i="23" s="1"/>
  <c r="AB54" i="23"/>
  <c r="AH54" i="23" s="1"/>
  <c r="AE54" i="23"/>
  <c r="AK54" i="23" s="1"/>
  <c r="AF53" i="23"/>
  <c r="AL53" i="23" s="1"/>
  <c r="AB53" i="23"/>
  <c r="AH53" i="23" s="1"/>
  <c r="AE53" i="23"/>
  <c r="AK53" i="23" s="1"/>
  <c r="AD53" i="23"/>
  <c r="AJ53" i="23" s="1"/>
  <c r="AC53" i="23"/>
  <c r="AI53" i="23" s="1"/>
  <c r="U52" i="23"/>
  <c r="AB52" i="23" s="1"/>
  <c r="AB47" i="23"/>
  <c r="AH47" i="23" s="1"/>
  <c r="AD47" i="23"/>
  <c r="AJ47" i="23" s="1"/>
  <c r="AE47" i="23"/>
  <c r="AK47" i="23" s="1"/>
  <c r="AF47" i="23"/>
  <c r="AL47" i="23" s="1"/>
  <c r="AC47" i="23"/>
  <c r="AI47" i="23" s="1"/>
  <c r="AB46" i="23"/>
  <c r="AH46" i="23" s="1"/>
  <c r="AD46" i="23"/>
  <c r="AJ46" i="23" s="1"/>
  <c r="AE46" i="23"/>
  <c r="AK46" i="23" s="1"/>
  <c r="AF46" i="23"/>
  <c r="AL46" i="23" s="1"/>
  <c r="AC46" i="23"/>
  <c r="AI46" i="23" s="1"/>
  <c r="AB45" i="23"/>
  <c r="AH45" i="23" s="1"/>
  <c r="AD45" i="23"/>
  <c r="AJ45" i="23" s="1"/>
  <c r="AE45" i="23"/>
  <c r="AK45" i="23" s="1"/>
  <c r="AF45" i="23"/>
  <c r="AL45" i="23" s="1"/>
  <c r="AC45" i="23"/>
  <c r="AI45" i="23" s="1"/>
  <c r="AB43" i="23"/>
  <c r="AH43" i="23" s="1"/>
  <c r="AD43" i="23"/>
  <c r="AJ43" i="23" s="1"/>
  <c r="AE43" i="23"/>
  <c r="AK43" i="23" s="1"/>
  <c r="AF43" i="23"/>
  <c r="AL43" i="23" s="1"/>
  <c r="AC43" i="23"/>
  <c r="AI43" i="23" s="1"/>
  <c r="AB44" i="23"/>
  <c r="AH44" i="23" s="1"/>
  <c r="AD44" i="23"/>
  <c r="AJ44" i="23" s="1"/>
  <c r="AE44" i="23"/>
  <c r="AK44" i="23" s="1"/>
  <c r="AF44" i="23"/>
  <c r="AL44" i="23" s="1"/>
  <c r="AC44" i="23"/>
  <c r="AI44" i="23" s="1"/>
  <c r="AE52" i="23" l="1"/>
  <c r="AK52" i="23" s="1"/>
  <c r="AD52" i="23"/>
  <c r="AJ52" i="23" s="1"/>
  <c r="AC52" i="23"/>
  <c r="AI52" i="23" s="1"/>
  <c r="AF52" i="23"/>
  <c r="AL52" i="23" s="1"/>
  <c r="AH52" i="23"/>
  <c r="D50" i="23"/>
  <c r="J12" i="23" l="1"/>
  <c r="K12" i="23"/>
  <c r="L12" i="23"/>
  <c r="M12" i="23"/>
  <c r="N12" i="23"/>
  <c r="O12" i="23"/>
  <c r="P12" i="23"/>
  <c r="M48" i="23"/>
  <c r="N48" i="23"/>
  <c r="O48" i="23"/>
  <c r="M26" i="23"/>
  <c r="N26" i="23"/>
  <c r="O26" i="23"/>
  <c r="M27" i="23"/>
  <c r="N27" i="23"/>
  <c r="O27" i="23"/>
  <c r="L27" i="23"/>
  <c r="L26" i="23"/>
  <c r="M11" i="23"/>
  <c r="N11" i="23"/>
  <c r="O11" i="23"/>
  <c r="L11" i="23"/>
  <c r="D30" i="23"/>
  <c r="I26" i="23"/>
  <c r="P48" i="23"/>
  <c r="L48" i="23"/>
  <c r="K48" i="23"/>
  <c r="J48" i="23"/>
  <c r="I48" i="23"/>
  <c r="D43" i="23"/>
  <c r="D34" i="23"/>
  <c r="D33" i="23"/>
  <c r="P27" i="23"/>
  <c r="K27" i="23"/>
  <c r="J27" i="23"/>
  <c r="I27" i="23"/>
  <c r="P26" i="23"/>
  <c r="K26" i="23"/>
  <c r="J26" i="23"/>
  <c r="J28" i="23" s="1"/>
  <c r="I16" i="23"/>
  <c r="D13" i="23"/>
  <c r="D12" i="23"/>
  <c r="P11" i="23"/>
  <c r="K11" i="23"/>
  <c r="J11" i="23"/>
  <c r="I11" i="23"/>
  <c r="D7" i="23"/>
  <c r="I28" i="23" l="1"/>
  <c r="I29" i="23" s="1"/>
  <c r="I6" i="23"/>
  <c r="I7" i="23" s="1"/>
  <c r="I9" i="23" s="1"/>
  <c r="I4" i="23"/>
  <c r="O28" i="23"/>
  <c r="O29" i="23" s="1"/>
  <c r="D25" i="23"/>
  <c r="P4" i="23"/>
  <c r="L4" i="23"/>
  <c r="O4" i="23"/>
  <c r="K4" i="23"/>
  <c r="N4" i="23"/>
  <c r="J4" i="23"/>
  <c r="M4" i="23"/>
  <c r="D51" i="23"/>
  <c r="D45" i="23"/>
  <c r="L28" i="23"/>
  <c r="L29" i="23" s="1"/>
  <c r="N28" i="23"/>
  <c r="N29" i="23" s="1"/>
  <c r="M28" i="23"/>
  <c r="M29" i="23" s="1"/>
  <c r="P28" i="23"/>
  <c r="P29" i="23" s="1"/>
  <c r="K28" i="23"/>
  <c r="K29" i="23" s="1"/>
  <c r="D14" i="23"/>
  <c r="J29" i="23"/>
  <c r="J6" i="23" l="1"/>
  <c r="J7" i="23" s="1"/>
  <c r="O6" i="23"/>
  <c r="O7" i="23" s="1"/>
  <c r="L6" i="23"/>
  <c r="L7" i="23" s="1"/>
  <c r="I17" i="23"/>
  <c r="N6" i="23"/>
  <c r="N7" i="23" s="1"/>
  <c r="M6" i="23"/>
  <c r="M7" i="23" s="1"/>
  <c r="P6" i="23"/>
  <c r="P7" i="23" s="1"/>
  <c r="K6" i="23"/>
  <c r="K7" i="23" s="1"/>
  <c r="D15" i="23"/>
  <c r="D72" i="23" s="1"/>
  <c r="D34" i="22"/>
  <c r="I13" i="23" l="1"/>
  <c r="I14" i="23" s="1"/>
  <c r="I15" i="23"/>
  <c r="I24" i="23" s="1"/>
  <c r="D48" i="23"/>
  <c r="D49" i="23" s="1"/>
  <c r="D7" i="22"/>
  <c r="I10" i="22"/>
  <c r="D54" i="22"/>
  <c r="M49" i="22"/>
  <c r="L49" i="22"/>
  <c r="K49" i="22"/>
  <c r="J49" i="22"/>
  <c r="I49" i="22"/>
  <c r="D47" i="22"/>
  <c r="D40" i="22"/>
  <c r="D42" i="22" s="1"/>
  <c r="D32" i="22"/>
  <c r="D31" i="22"/>
  <c r="M28" i="22"/>
  <c r="L28" i="22"/>
  <c r="K28" i="22"/>
  <c r="J28" i="22"/>
  <c r="I28" i="22"/>
  <c r="M27" i="22"/>
  <c r="L27" i="22"/>
  <c r="K27" i="22"/>
  <c r="K22" i="22" s="1"/>
  <c r="J27" i="22"/>
  <c r="J22" i="22" s="1"/>
  <c r="I27" i="22"/>
  <c r="D25" i="22"/>
  <c r="M24" i="22"/>
  <c r="L24" i="22"/>
  <c r="K24" i="22"/>
  <c r="J24" i="22"/>
  <c r="I24" i="22"/>
  <c r="L22" i="22"/>
  <c r="D22" i="22"/>
  <c r="K6" i="22" s="1"/>
  <c r="K7" i="22" s="1"/>
  <c r="D20" i="22"/>
  <c r="D23" i="22" s="1"/>
  <c r="I14" i="22"/>
  <c r="I15" i="22" s="1"/>
  <c r="D13" i="22"/>
  <c r="D12" i="22"/>
  <c r="M10" i="22"/>
  <c r="M11" i="22" s="1"/>
  <c r="L10" i="22"/>
  <c r="L11" i="22" s="1"/>
  <c r="K10" i="22"/>
  <c r="K11" i="22" s="1"/>
  <c r="J10" i="22"/>
  <c r="J11" i="22" s="1"/>
  <c r="I11" i="22"/>
  <c r="D10" i="22"/>
  <c r="M9" i="22"/>
  <c r="L9" i="22"/>
  <c r="K9" i="22"/>
  <c r="J9" i="22"/>
  <c r="I9" i="22"/>
  <c r="M6" i="22"/>
  <c r="M7" i="22" s="1"/>
  <c r="L6" i="22"/>
  <c r="L7" i="22" s="1"/>
  <c r="I6" i="22"/>
  <c r="I7" i="22" s="1"/>
  <c r="I61" i="23" l="1"/>
  <c r="J15" i="23"/>
  <c r="K15" i="23" s="1"/>
  <c r="L15" i="23" s="1"/>
  <c r="M15" i="23" s="1"/>
  <c r="I29" i="22"/>
  <c r="M29" i="22"/>
  <c r="M30" i="22" s="1"/>
  <c r="D52" i="23"/>
  <c r="D53" i="23" s="1"/>
  <c r="D54" i="23" s="1"/>
  <c r="D73" i="23" s="1"/>
  <c r="I22" i="22"/>
  <c r="M22" i="22"/>
  <c r="D48" i="22"/>
  <c r="J6" i="22"/>
  <c r="J7" i="22" s="1"/>
  <c r="K29" i="22"/>
  <c r="J25" i="22"/>
  <c r="J29" i="22"/>
  <c r="D14" i="22"/>
  <c r="D15" i="22" s="1"/>
  <c r="I16" i="22"/>
  <c r="I17" i="22" s="1"/>
  <c r="L29" i="22"/>
  <c r="L30" i="22" s="1"/>
  <c r="L25" i="22"/>
  <c r="J12" i="22"/>
  <c r="L12" i="22"/>
  <c r="I12" i="22"/>
  <c r="O11" i="22"/>
  <c r="K12" i="22"/>
  <c r="M12" i="22"/>
  <c r="D24" i="22"/>
  <c r="J30" i="22"/>
  <c r="D61" i="22"/>
  <c r="D62" i="22" s="1"/>
  <c r="D63" i="22" s="1"/>
  <c r="D11" i="22"/>
  <c r="I25" i="22"/>
  <c r="O24" i="22"/>
  <c r="K25" i="22"/>
  <c r="M25" i="22"/>
  <c r="I30" i="22"/>
  <c r="K30" i="22"/>
  <c r="D17" i="22" l="1"/>
  <c r="I13" i="22" s="1"/>
  <c r="I18" i="22" s="1"/>
  <c r="D16" i="22"/>
  <c r="D67" i="22" s="1"/>
  <c r="N15" i="23"/>
  <c r="O12" i="22"/>
  <c r="D69" i="22" l="1"/>
  <c r="D45" i="22"/>
  <c r="D46" i="22" s="1"/>
  <c r="D49" i="22" s="1"/>
  <c r="D50" i="22" s="1"/>
  <c r="D51" i="22" s="1"/>
  <c r="D70" i="22" s="1"/>
  <c r="I23" i="22"/>
  <c r="J13" i="22"/>
  <c r="K13" i="22" s="1"/>
  <c r="O15" i="23"/>
  <c r="J23" i="22"/>
  <c r="P15" i="23" l="1"/>
  <c r="K23" i="22"/>
  <c r="L13" i="22"/>
  <c r="L23" i="22" l="1"/>
  <c r="M13" i="22"/>
  <c r="M23" i="22" s="1"/>
  <c r="Z1" i="3" l="1"/>
  <c r="AA1" i="3" s="1"/>
  <c r="AB1" i="3" s="1"/>
  <c r="AC1" i="3" s="1"/>
  <c r="AD1" i="3" s="1"/>
  <c r="AE1" i="3" s="1"/>
  <c r="AF1" i="3" s="1"/>
  <c r="AG1" i="3" s="1"/>
  <c r="AH1" i="3" s="1"/>
  <c r="AB9" i="3" l="1"/>
  <c r="AB4" i="3"/>
  <c r="AB14" i="3" l="1"/>
  <c r="AB5" i="3"/>
  <c r="AD4" i="3" l="1"/>
  <c r="AC4" i="3"/>
  <c r="AC6" i="3"/>
  <c r="AD5" i="3"/>
  <c r="AD6" i="3"/>
  <c r="AC5" i="3"/>
  <c r="AB19" i="3"/>
  <c r="AC7" i="3" l="1"/>
  <c r="AD8" i="3" s="1"/>
  <c r="AD7" i="3"/>
  <c r="AB10" i="3"/>
  <c r="AB24" i="3"/>
  <c r="AC11" i="3" l="1"/>
  <c r="AD10" i="3"/>
  <c r="AC9" i="3"/>
  <c r="AC10" i="3"/>
  <c r="AD11" i="3"/>
  <c r="AD9" i="3"/>
  <c r="AB29" i="3"/>
  <c r="AC12" i="3" l="1"/>
  <c r="AD13" i="3" s="1"/>
  <c r="AD12" i="3"/>
  <c r="AB34" i="3"/>
  <c r="AB15" i="3"/>
  <c r="AD15" i="3" l="1"/>
  <c r="AD14" i="3"/>
  <c r="AD16" i="3"/>
  <c r="AC14" i="3"/>
  <c r="AC15" i="3"/>
  <c r="AC16" i="3"/>
  <c r="AB39" i="3"/>
  <c r="AC17" i="3" l="1"/>
  <c r="AD18" i="3" s="1"/>
  <c r="AD17" i="3"/>
  <c r="AB44" i="3"/>
  <c r="AB20" i="3"/>
  <c r="AB49" i="3"/>
  <c r="AC21" i="3" l="1"/>
  <c r="AD21" i="3"/>
  <c r="AD20" i="3"/>
  <c r="AC19" i="3"/>
  <c r="AD19" i="3"/>
  <c r="AC20" i="3"/>
  <c r="AB25" i="3"/>
  <c r="AD22" i="3" l="1"/>
  <c r="AD25" i="3"/>
  <c r="AC25" i="3"/>
  <c r="AC26" i="3"/>
  <c r="AC24" i="3"/>
  <c r="AD26" i="3"/>
  <c r="AD24" i="3"/>
  <c r="AC22" i="3"/>
  <c r="AD23" i="3" l="1"/>
  <c r="AD27" i="3"/>
  <c r="AC27" i="3"/>
  <c r="AD28" i="3" s="1"/>
  <c r="AB30" i="3"/>
  <c r="AD30" i="3" l="1"/>
  <c r="AC30" i="3"/>
  <c r="AD29" i="3"/>
  <c r="AD31" i="3"/>
  <c r="AC29" i="3"/>
  <c r="AC31" i="3"/>
  <c r="AC32" i="3" l="1"/>
  <c r="AD33" i="3" s="1"/>
  <c r="AB35" i="3"/>
  <c r="AD32" i="3"/>
  <c r="AD34" i="3" l="1"/>
  <c r="AC35" i="3"/>
  <c r="AC36" i="3"/>
  <c r="AD36" i="3"/>
  <c r="AD35" i="3"/>
  <c r="AC34" i="3"/>
  <c r="AD37" i="3" l="1"/>
  <c r="AC37" i="3"/>
  <c r="AB40" i="3"/>
  <c r="AD38" i="3" l="1"/>
  <c r="AC40" i="3"/>
  <c r="AC41" i="3"/>
  <c r="AD40" i="3"/>
  <c r="AC39" i="3"/>
  <c r="AD41" i="3"/>
  <c r="AD39" i="3"/>
  <c r="AB45" i="3" l="1"/>
  <c r="AD45" i="3" s="1"/>
  <c r="AC42" i="3"/>
  <c r="AD42" i="3"/>
  <c r="AC44" i="3" l="1"/>
  <c r="AD43" i="3"/>
  <c r="AD44" i="3"/>
  <c r="AC45" i="3"/>
  <c r="AC46" i="3"/>
  <c r="AD46" i="3"/>
  <c r="AD47" i="3" s="1"/>
  <c r="AC47" i="3" l="1"/>
  <c r="AD48" i="3" s="1"/>
  <c r="AB50" i="3"/>
  <c r="AC50" i="3" l="1"/>
  <c r="AD51" i="3"/>
  <c r="AD49" i="3"/>
  <c r="AD50" i="3"/>
  <c r="AC51" i="3"/>
  <c r="AC49" i="3"/>
  <c r="AD52" i="3" l="1"/>
  <c r="AC52" i="3"/>
  <c r="AD53" i="3" l="1"/>
  <c r="I19" i="22" l="1"/>
  <c r="I47" i="22" s="1"/>
  <c r="I48" i="22" s="1"/>
  <c r="J14" i="22"/>
  <c r="I20" i="22" l="1"/>
  <c r="I33" i="22"/>
  <c r="J15" i="22"/>
  <c r="J16" i="22" s="1"/>
  <c r="J17" i="22" s="1"/>
  <c r="J18" i="22" s="1"/>
  <c r="I41" i="22"/>
  <c r="I32" i="22"/>
  <c r="I36" i="22" s="1"/>
  <c r="K14" i="22" l="1"/>
  <c r="J19" i="22"/>
  <c r="J33" i="22" s="1"/>
  <c r="I42" i="22"/>
  <c r="I34" i="22"/>
  <c r="I37" i="22" s="1"/>
  <c r="J47" i="22" l="1"/>
  <c r="J48" i="22" s="1"/>
  <c r="J32" i="22"/>
  <c r="J36" i="22" s="1"/>
  <c r="J41" i="22"/>
  <c r="J20" i="22"/>
  <c r="K15" i="22"/>
  <c r="K16" i="22" s="1"/>
  <c r="K17" i="22" s="1"/>
  <c r="K18" i="22" s="1"/>
  <c r="I43" i="22"/>
  <c r="I44" i="22" s="1"/>
  <c r="I45" i="22" s="1"/>
  <c r="I51" i="22" s="1"/>
  <c r="I38" i="22"/>
  <c r="I39" i="22" s="1"/>
  <c r="J42" i="22" l="1"/>
  <c r="J34" i="22"/>
  <c r="J37" i="22" s="1"/>
  <c r="K19" i="22"/>
  <c r="L14" i="22"/>
  <c r="I53" i="22"/>
  <c r="I54" i="22"/>
  <c r="J43" i="22" l="1"/>
  <c r="J44" i="22" s="1"/>
  <c r="J45" i="22" s="1"/>
  <c r="J51" i="22" s="1"/>
  <c r="J54" i="22" s="1"/>
  <c r="J38" i="22"/>
  <c r="J39" i="22" s="1"/>
  <c r="K33" i="22"/>
  <c r="K20" i="22"/>
  <c r="K41" i="22"/>
  <c r="K47" i="22"/>
  <c r="K48" i="22" s="1"/>
  <c r="K32" i="22"/>
  <c r="K36" i="22" s="1"/>
  <c r="L15" i="22"/>
  <c r="L16" i="22" s="1"/>
  <c r="L17" i="22" s="1"/>
  <c r="L18" i="22" s="1"/>
  <c r="I55" i="22"/>
  <c r="J53" i="22" l="1"/>
  <c r="J55" i="22" s="1"/>
  <c r="L19" i="22"/>
  <c r="M14" i="22"/>
  <c r="K34" i="22"/>
  <c r="K37" i="22" s="1"/>
  <c r="K42" i="22"/>
  <c r="M15" i="22" l="1"/>
  <c r="M16" i="22" s="1"/>
  <c r="M17" i="22" s="1"/>
  <c r="M18" i="22" s="1"/>
  <c r="K38" i="22"/>
  <c r="K39" i="22" s="1"/>
  <c r="K43" i="22"/>
  <c r="K44" i="22" s="1"/>
  <c r="K45" i="22" s="1"/>
  <c r="K51" i="22" s="1"/>
  <c r="L47" i="22"/>
  <c r="L48" i="22" s="1"/>
  <c r="L41" i="22"/>
  <c r="L20" i="22"/>
  <c r="L32" i="22"/>
  <c r="L36" i="22" s="1"/>
  <c r="L33" i="22"/>
  <c r="L34" i="22" l="1"/>
  <c r="L42" i="22"/>
  <c r="L37" i="22"/>
  <c r="K53" i="22"/>
  <c r="K54" i="22"/>
  <c r="M19" i="22"/>
  <c r="L43" i="22" l="1"/>
  <c r="L44" i="22" s="1"/>
  <c r="L45" i="22" s="1"/>
  <c r="L51" i="22" s="1"/>
  <c r="L38" i="22"/>
  <c r="L39" i="22" s="1"/>
  <c r="M41" i="22"/>
  <c r="M32" i="22"/>
  <c r="M36" i="22" s="1"/>
  <c r="O36" i="22" s="1"/>
  <c r="M33" i="22"/>
  <c r="M47" i="22"/>
  <c r="M48" i="22" s="1"/>
  <c r="M20" i="22"/>
  <c r="K55" i="22"/>
  <c r="M42" i="22" l="1"/>
  <c r="M34" i="22"/>
  <c r="M37" i="22" s="1"/>
  <c r="L53" i="22"/>
  <c r="L54" i="22"/>
  <c r="M43" i="22" l="1"/>
  <c r="M44" i="22" s="1"/>
  <c r="M45" i="22" s="1"/>
  <c r="M51" i="22" s="1"/>
  <c r="M53" i="22" s="1"/>
  <c r="D74" i="22" s="1"/>
  <c r="M38" i="22"/>
  <c r="M39" i="22" s="1"/>
  <c r="D65" i="22" s="1"/>
  <c r="D68" i="22" s="1"/>
  <c r="D71" i="22" s="1"/>
  <c r="D72" i="22" s="1"/>
  <c r="D56" i="22" s="1"/>
  <c r="D58" i="22" s="1"/>
  <c r="L55" i="22"/>
  <c r="M54" i="22" l="1"/>
  <c r="D75" i="22" s="1"/>
  <c r="D76" i="22" s="1"/>
  <c r="D57" i="22"/>
  <c r="D59" i="22" s="1"/>
  <c r="O53" i="22"/>
  <c r="O54" i="22" l="1"/>
  <c r="M55" i="22"/>
  <c r="M60" i="22" s="1"/>
  <c r="K9" i="23" l="1"/>
  <c r="K13" i="23" s="1"/>
  <c r="K14" i="23" s="1"/>
  <c r="L24" i="23" l="1"/>
  <c r="J24" i="23"/>
  <c r="O9" i="23"/>
  <c r="O13" i="23" s="1"/>
  <c r="O14" i="23" s="1"/>
  <c r="N9" i="23"/>
  <c r="N13" i="23" s="1"/>
  <c r="N14" i="23" s="1"/>
  <c r="P24" i="23"/>
  <c r="K24" i="23"/>
  <c r="M9" i="23"/>
  <c r="M13" i="23" s="1"/>
  <c r="M14" i="23" s="1"/>
  <c r="J9" i="23"/>
  <c r="J13" i="23" s="1"/>
  <c r="J14" i="23" s="1"/>
  <c r="P9" i="23"/>
  <c r="P13" i="23" s="1"/>
  <c r="P14" i="23" s="1"/>
  <c r="M24" i="23"/>
  <c r="L9" i="23"/>
  <c r="L13" i="23" s="1"/>
  <c r="L14" i="23" s="1"/>
  <c r="O24" i="23"/>
  <c r="N24" i="23"/>
  <c r="R13" i="23" l="1"/>
  <c r="E9" i="23" s="1"/>
  <c r="I18" i="23" l="1"/>
  <c r="I19" i="23" s="1"/>
  <c r="I20" i="23" l="1"/>
  <c r="J16" i="23" l="1"/>
  <c r="J61" i="23" s="1"/>
  <c r="I21" i="23"/>
  <c r="J17" i="23" l="1"/>
  <c r="J18" i="23" s="1"/>
  <c r="J19" i="23" s="1"/>
  <c r="J20" i="23" s="1"/>
  <c r="K16" i="23" s="1"/>
  <c r="I40" i="23"/>
  <c r="I46" i="23"/>
  <c r="I47" i="23" s="1"/>
  <c r="I31" i="23"/>
  <c r="I35" i="23" s="1"/>
  <c r="I32" i="23"/>
  <c r="I22" i="23"/>
  <c r="J21" i="23" l="1"/>
  <c r="J40" i="23" s="1"/>
  <c r="K17" i="23"/>
  <c r="K18" i="23" s="1"/>
  <c r="K19" i="23" s="1"/>
  <c r="K20" i="23" s="1"/>
  <c r="L16" i="23" s="1"/>
  <c r="K61" i="23"/>
  <c r="I33" i="23"/>
  <c r="I36" i="23" s="1"/>
  <c r="I41" i="23"/>
  <c r="J22" i="23" l="1"/>
  <c r="J31" i="23"/>
  <c r="J35" i="23" s="1"/>
  <c r="J46" i="23"/>
  <c r="J47" i="23" s="1"/>
  <c r="J32" i="23"/>
  <c r="L17" i="23"/>
  <c r="L18" i="23" s="1"/>
  <c r="L19" i="23" s="1"/>
  <c r="L20" i="23" s="1"/>
  <c r="L21" i="23" s="1"/>
  <c r="L40" i="23" s="1"/>
  <c r="L61" i="23"/>
  <c r="I42" i="23"/>
  <c r="I43" i="23" s="1"/>
  <c r="I44" i="23" s="1"/>
  <c r="I50" i="23" s="1"/>
  <c r="I52" i="23" s="1"/>
  <c r="I37" i="23"/>
  <c r="I38" i="23" s="1"/>
  <c r="K21" i="23"/>
  <c r="K40" i="23" s="1"/>
  <c r="J33" i="23" l="1"/>
  <c r="J36" i="23" s="1"/>
  <c r="J37" i="23" s="1"/>
  <c r="J38" i="23" s="1"/>
  <c r="J41" i="23"/>
  <c r="I53" i="23"/>
  <c r="M16" i="23"/>
  <c r="K22" i="23"/>
  <c r="K32" i="23"/>
  <c r="K31" i="23"/>
  <c r="K35" i="23" s="1"/>
  <c r="K46" i="23"/>
  <c r="K47" i="23" s="1"/>
  <c r="L32" i="23"/>
  <c r="L31" i="23"/>
  <c r="L35" i="23" s="1"/>
  <c r="L46" i="23"/>
  <c r="L47" i="23" s="1"/>
  <c r="L22" i="23"/>
  <c r="J42" i="23" l="1"/>
  <c r="J43" i="23" s="1"/>
  <c r="J44" i="23" s="1"/>
  <c r="J50" i="23" s="1"/>
  <c r="J53" i="23" s="1"/>
  <c r="M17" i="23"/>
  <c r="M18" i="23" s="1"/>
  <c r="M19" i="23" s="1"/>
  <c r="M20" i="23" s="1"/>
  <c r="N16" i="23" s="1"/>
  <c r="M61" i="23"/>
  <c r="K33" i="23"/>
  <c r="K36" i="23" s="1"/>
  <c r="K37" i="23" s="1"/>
  <c r="K38" i="23" s="1"/>
  <c r="K41" i="23"/>
  <c r="L33" i="23"/>
  <c r="L36" i="23" s="1"/>
  <c r="L37" i="23" s="1"/>
  <c r="L38" i="23" s="1"/>
  <c r="L41" i="23"/>
  <c r="J52" i="23" l="1"/>
  <c r="M21" i="23"/>
  <c r="M31" i="23" s="1"/>
  <c r="M35" i="23" s="1"/>
  <c r="N17" i="23"/>
  <c r="N18" i="23" s="1"/>
  <c r="N19" i="23" s="1"/>
  <c r="N20" i="23" s="1"/>
  <c r="N61" i="23"/>
  <c r="K42" i="23"/>
  <c r="K43" i="23" s="1"/>
  <c r="K44" i="23" s="1"/>
  <c r="K50" i="23" s="1"/>
  <c r="K52" i="23" s="1"/>
  <c r="L42" i="23"/>
  <c r="L43" i="23" s="1"/>
  <c r="L44" i="23" s="1"/>
  <c r="L50" i="23" s="1"/>
  <c r="L52" i="23" s="1"/>
  <c r="M32" i="23" l="1"/>
  <c r="M33" i="23" s="1"/>
  <c r="M36" i="23" s="1"/>
  <c r="M22" i="23"/>
  <c r="M40" i="23"/>
  <c r="M46" i="23"/>
  <c r="M47" i="23" s="1"/>
  <c r="K53" i="23"/>
  <c r="L53" i="23"/>
  <c r="O16" i="23"/>
  <c r="N21" i="23"/>
  <c r="M41" i="23" l="1"/>
  <c r="M42" i="23" s="1"/>
  <c r="M43" i="23" s="1"/>
  <c r="M44" i="23" s="1"/>
  <c r="M50" i="23" s="1"/>
  <c r="O17" i="23"/>
  <c r="O18" i="23" s="1"/>
  <c r="O19" i="23" s="1"/>
  <c r="O20" i="23" s="1"/>
  <c r="P16" i="23" s="1"/>
  <c r="O61" i="23"/>
  <c r="M37" i="23"/>
  <c r="M38" i="23" s="1"/>
  <c r="N46" i="23"/>
  <c r="N47" i="23" s="1"/>
  <c r="N31" i="23"/>
  <c r="N35" i="23" s="1"/>
  <c r="N32" i="23"/>
  <c r="N22" i="23"/>
  <c r="N40" i="23"/>
  <c r="P17" i="23" l="1"/>
  <c r="P18" i="23" s="1"/>
  <c r="P19" i="23" s="1"/>
  <c r="P20" i="23" s="1"/>
  <c r="P21" i="23" s="1"/>
  <c r="P46" i="23" s="1"/>
  <c r="P61" i="23"/>
  <c r="N33" i="23"/>
  <c r="N36" i="23" s="1"/>
  <c r="N37" i="23" s="1"/>
  <c r="N38" i="23" s="1"/>
  <c r="O21" i="23"/>
  <c r="O22" i="23" s="1"/>
  <c r="N41" i="23"/>
  <c r="M52" i="23"/>
  <c r="M53" i="23"/>
  <c r="O31" i="23" l="1"/>
  <c r="O35" i="23" s="1"/>
  <c r="O46" i="23"/>
  <c r="O47" i="23" s="1"/>
  <c r="O32" i="23"/>
  <c r="N42" i="23"/>
  <c r="N43" i="23" s="1"/>
  <c r="N44" i="23" s="1"/>
  <c r="N50" i="23" s="1"/>
  <c r="N52" i="23" s="1"/>
  <c r="O40" i="23"/>
  <c r="P40" i="23"/>
  <c r="P31" i="23"/>
  <c r="P35" i="23" s="1"/>
  <c r="P47" i="23"/>
  <c r="P22" i="23"/>
  <c r="P32" i="23"/>
  <c r="O33" i="23" l="1"/>
  <c r="O36" i="23" s="1"/>
  <c r="O37" i="23" s="1"/>
  <c r="O38" i="23" s="1"/>
  <c r="N53" i="23"/>
  <c r="O41" i="23"/>
  <c r="P33" i="23"/>
  <c r="P36" i="23" s="1"/>
  <c r="P41" i="23"/>
  <c r="O42" i="23" l="1"/>
  <c r="O43" i="23" s="1"/>
  <c r="O44" i="23" s="1"/>
  <c r="O50" i="23" s="1"/>
  <c r="O53" i="23" s="1"/>
  <c r="P37" i="23"/>
  <c r="P38" i="23" s="1"/>
  <c r="D68" i="23" s="1"/>
  <c r="P42" i="23"/>
  <c r="P43" i="23" s="1"/>
  <c r="P44" i="23" s="1"/>
  <c r="P50" i="23" s="1"/>
  <c r="O52" i="23" l="1"/>
  <c r="P52" i="23"/>
  <c r="P53" i="23"/>
  <c r="R53" i="23" s="1"/>
  <c r="D70" i="23"/>
  <c r="D71" i="23" l="1"/>
  <c r="D74" i="23" s="1"/>
  <c r="D75" i="23" s="1"/>
  <c r="R52" i="23"/>
  <c r="D77" i="23"/>
  <c r="D78" i="23"/>
  <c r="T37" i="23" l="1"/>
  <c r="AQ3" i="23"/>
  <c r="D79" i="23"/>
  <c r="U42" i="23" l="1"/>
  <c r="AJ3" i="23"/>
  <c r="U51" i="23"/>
</calcChain>
</file>

<file path=xl/comments1.xml><?xml version="1.0" encoding="utf-8"?>
<comments xmlns="http://schemas.openxmlformats.org/spreadsheetml/2006/main">
  <authors>
    <author>Alon Ganany</author>
  </authors>
  <commentList>
    <comment ref="G42" authorId="0" shapeId="0">
      <text>
        <r>
          <rPr>
            <b/>
            <sz val="9"/>
            <color indexed="81"/>
            <rFont val="Tahoma"/>
            <family val="2"/>
          </rPr>
          <t>Alon Ganany:</t>
        </r>
        <r>
          <rPr>
            <sz val="9"/>
            <color indexed="81"/>
            <rFont val="Tahoma"/>
            <family val="2"/>
          </rPr>
          <t xml:space="preserve">
Source: Nir K.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Alon Ganany:</t>
        </r>
        <r>
          <rPr>
            <sz val="9"/>
            <color indexed="81"/>
            <rFont val="Tahoma"/>
            <family val="2"/>
          </rPr>
          <t xml:space="preserve">
Need to update T91</t>
        </r>
      </text>
    </comment>
    <comment ref="D59" authorId="0" shapeId="0">
      <text>
        <r>
          <rPr>
            <b/>
            <sz val="9"/>
            <color indexed="81"/>
            <rFont val="Tahoma"/>
            <family val="2"/>
          </rPr>
          <t>Alon Ganany:</t>
        </r>
        <r>
          <rPr>
            <sz val="9"/>
            <color indexed="81"/>
            <rFont val="Tahoma"/>
            <family val="2"/>
          </rPr>
          <t xml:space="preserve">
Right now assumed as zero</t>
        </r>
      </text>
    </comment>
  </commentList>
</comments>
</file>

<file path=xl/comments2.xml><?xml version="1.0" encoding="utf-8"?>
<comments xmlns="http://schemas.openxmlformats.org/spreadsheetml/2006/main">
  <authors>
    <author>Alon Ganany</author>
  </authors>
  <commentList>
    <comment ref="G43" authorId="0" shapeId="0">
      <text>
        <r>
          <rPr>
            <b/>
            <sz val="9"/>
            <color indexed="81"/>
            <rFont val="Tahoma"/>
            <family val="2"/>
          </rPr>
          <t>Alon Ganany:</t>
        </r>
        <r>
          <rPr>
            <sz val="9"/>
            <color indexed="81"/>
            <rFont val="Tahoma"/>
            <family val="2"/>
          </rPr>
          <t xml:space="preserve">
Source: Nir K.</t>
        </r>
      </text>
    </comment>
    <comment ref="G47" authorId="0" shapeId="0">
      <text>
        <r>
          <rPr>
            <b/>
            <sz val="9"/>
            <color indexed="81"/>
            <rFont val="Tahoma"/>
            <family val="2"/>
          </rPr>
          <t>Alon Ganany:</t>
        </r>
        <r>
          <rPr>
            <sz val="9"/>
            <color indexed="81"/>
            <rFont val="Tahoma"/>
            <family val="2"/>
          </rPr>
          <t xml:space="preserve">
Need to update T91</t>
        </r>
      </text>
    </comment>
    <comment ref="D56" authorId="0" shapeId="0">
      <text>
        <r>
          <rPr>
            <b/>
            <sz val="9"/>
            <color indexed="81"/>
            <rFont val="Tahoma"/>
            <family val="2"/>
          </rPr>
          <t>Alon Ganany:</t>
        </r>
        <r>
          <rPr>
            <sz val="9"/>
            <color indexed="81"/>
            <rFont val="Tahoma"/>
            <family val="2"/>
          </rPr>
          <t xml:space="preserve">
Right now assumed as zero</t>
        </r>
      </text>
    </comment>
  </commentList>
</comments>
</file>

<file path=xl/sharedStrings.xml><?xml version="1.0" encoding="utf-8"?>
<sst xmlns="http://schemas.openxmlformats.org/spreadsheetml/2006/main" count="594" uniqueCount="209">
  <si>
    <t>C</t>
  </si>
  <si>
    <t>MWt</t>
  </si>
  <si>
    <t>kg/s</t>
  </si>
  <si>
    <t>Salt cold temperature</t>
  </si>
  <si>
    <t>Salt hot temperature</t>
  </si>
  <si>
    <r>
      <rPr>
        <sz val="11"/>
        <color theme="1"/>
        <rFont val="Calibri"/>
        <family val="2"/>
      </rPr>
      <t>Salt ∆</t>
    </r>
    <r>
      <rPr>
        <sz val="11"/>
        <color theme="1"/>
        <rFont val="Arial"/>
        <family val="2"/>
        <charset val="177"/>
      </rPr>
      <t>T</t>
    </r>
  </si>
  <si>
    <t>Receiver total load</t>
  </si>
  <si>
    <t>Cold salt Cp</t>
  </si>
  <si>
    <t>Hot salt Cp</t>
  </si>
  <si>
    <t>kJ/kgC</t>
  </si>
  <si>
    <t>Average Cp</t>
  </si>
  <si>
    <t>Salt total mass flow</t>
  </si>
  <si>
    <t>m</t>
  </si>
  <si>
    <t>m2</t>
  </si>
  <si>
    <t>Receiver No. of passes</t>
  </si>
  <si>
    <t>#</t>
  </si>
  <si>
    <t>kW/m2</t>
  </si>
  <si>
    <t>Panel width</t>
  </si>
  <si>
    <t>Tin</t>
  </si>
  <si>
    <t>Tout</t>
  </si>
  <si>
    <t>Tavg for Cp</t>
  </si>
  <si>
    <t>Panel length</t>
  </si>
  <si>
    <t>Panel area</t>
  </si>
  <si>
    <t>Alstom</t>
  </si>
  <si>
    <t>Tout (guess)</t>
  </si>
  <si>
    <t>Receiver height</t>
  </si>
  <si>
    <t>Piping OD</t>
  </si>
  <si>
    <t>"</t>
  </si>
  <si>
    <t>Piping thick</t>
  </si>
  <si>
    <t>mm</t>
  </si>
  <si>
    <t>Piping ID</t>
  </si>
  <si>
    <t>Piping IA</t>
  </si>
  <si>
    <t>No. of pipes</t>
  </si>
  <si>
    <t>Total mass flow</t>
  </si>
  <si>
    <t>Pipe mass flow</t>
  </si>
  <si>
    <t>-</t>
  </si>
  <si>
    <t xml:space="preserve">MS density </t>
  </si>
  <si>
    <t>kg/m3</t>
  </si>
  <si>
    <t>Tavg real</t>
  </si>
  <si>
    <t>MS viscosity</t>
  </si>
  <si>
    <t>Pa*s</t>
  </si>
  <si>
    <t>m/s</t>
  </si>
  <si>
    <t>Reynolds</t>
  </si>
  <si>
    <t>Friction coeff.</t>
  </si>
  <si>
    <r>
      <t xml:space="preserve">Pass </t>
    </r>
    <r>
      <rPr>
        <sz val="11"/>
        <color theme="1"/>
        <rFont val="Calibri"/>
        <family val="2"/>
      </rPr>
      <t>∆</t>
    </r>
    <r>
      <rPr>
        <sz val="11"/>
        <color theme="1"/>
        <rFont val="Arial"/>
        <family val="2"/>
        <charset val="177"/>
      </rPr>
      <t>P</t>
    </r>
  </si>
  <si>
    <t>bar</t>
  </si>
  <si>
    <t>Flow velocity</t>
  </si>
  <si>
    <t>cST</t>
  </si>
  <si>
    <t>Pump efficiency</t>
  </si>
  <si>
    <t>%</t>
  </si>
  <si>
    <t>Pump inlet density</t>
  </si>
  <si>
    <t>MWe</t>
  </si>
  <si>
    <t>Josh</t>
  </si>
  <si>
    <t>Model inputs</t>
  </si>
  <si>
    <t>MS properties</t>
  </si>
  <si>
    <t>Unchanged values</t>
  </si>
  <si>
    <t>Heat Flux</t>
  </si>
  <si>
    <t>Bulk Temp</t>
  </si>
  <si>
    <t>Single pipe mass flow: 5 kg/s</t>
  </si>
  <si>
    <t xml:space="preserve">Single pipe mass flow: 1.7 kg/s </t>
  </si>
  <si>
    <t>Single pipe mass flow: 10 kg/s</t>
  </si>
  <si>
    <t>A</t>
  </si>
  <si>
    <t>B</t>
  </si>
  <si>
    <t>Bulk T: 470 - 565C</t>
  </si>
  <si>
    <t>Bulk T: 290 - 470C</t>
  </si>
  <si>
    <t>Pipe flow</t>
  </si>
  <si>
    <t>T avg</t>
  </si>
  <si>
    <t>Sum</t>
  </si>
  <si>
    <t>290-470</t>
  </si>
  <si>
    <t>470-565</t>
  </si>
  <si>
    <t>Piping roughness coeff.</t>
  </si>
  <si>
    <t>Flux limit dist.</t>
  </si>
  <si>
    <t>Rec. Aspect Ratio</t>
  </si>
  <si>
    <t>°C</t>
  </si>
  <si>
    <t>W/mK</t>
  </si>
  <si>
    <t>Average</t>
  </si>
  <si>
    <t>MS Cp avg real</t>
  </si>
  <si>
    <t>MS Cp avg (guess)</t>
  </si>
  <si>
    <t>Thermal conductivity</t>
  </si>
  <si>
    <t>W/mC</t>
  </si>
  <si>
    <t>Prandtel no.</t>
  </si>
  <si>
    <t>Nu no.</t>
  </si>
  <si>
    <t>HTC</t>
  </si>
  <si>
    <t>W/m2C</t>
  </si>
  <si>
    <t>Skin temperature</t>
  </si>
  <si>
    <t>Conduction resist.</t>
  </si>
  <si>
    <t>IN617</t>
  </si>
  <si>
    <t>IN625</t>
  </si>
  <si>
    <t>Temp</t>
  </si>
  <si>
    <t>k</t>
  </si>
  <si>
    <t>MS thermal cond.</t>
  </si>
  <si>
    <t>Pipe thermal cond.</t>
  </si>
  <si>
    <t>Convection resist. (in)</t>
  </si>
  <si>
    <t>Piping properties</t>
  </si>
  <si>
    <t>m2C/kW</t>
  </si>
  <si>
    <t>Coating resist.</t>
  </si>
  <si>
    <t>Convection resist. coeff.</t>
  </si>
  <si>
    <t>Piping thickness</t>
  </si>
  <si>
    <t>Heat transfer inputs</t>
  </si>
  <si>
    <t>Heat transfer coeff.</t>
  </si>
  <si>
    <r>
      <t>Josh (</t>
    </r>
    <r>
      <rPr>
        <sz val="11"/>
        <color theme="1"/>
        <rFont val="Calibri"/>
        <family val="2"/>
      </rPr>
      <t>ɸ1)</t>
    </r>
  </si>
  <si>
    <t>Josh (ɸ2)</t>
  </si>
  <si>
    <t>Wind avg, velocity</t>
  </si>
  <si>
    <t>Nir</t>
  </si>
  <si>
    <t>Wind HTC correlation</t>
  </si>
  <si>
    <t>Boltzmann const.</t>
  </si>
  <si>
    <t>Emissivity</t>
  </si>
  <si>
    <t>σ</t>
  </si>
  <si>
    <t>Nir (ε)</t>
  </si>
  <si>
    <t>Ambient temperature</t>
  </si>
  <si>
    <t>W/m2K4</t>
  </si>
  <si>
    <t>Convection HLs</t>
  </si>
  <si>
    <t>kW</t>
  </si>
  <si>
    <t>Radiation HLs</t>
  </si>
  <si>
    <t>Important outputs</t>
  </si>
  <si>
    <t>Energy balance</t>
  </si>
  <si>
    <t>P vs. H</t>
  </si>
  <si>
    <t>Panel heat load</t>
  </si>
  <si>
    <t>Panel flux limit</t>
  </si>
  <si>
    <t xml:space="preserve">Reference flux limit </t>
  </si>
  <si>
    <t>Reference flux limit dist.</t>
  </si>
  <si>
    <t>Receiver 1/2 perimeter</t>
  </si>
  <si>
    <t>Salt 1/2 mass flow</t>
  </si>
  <si>
    <t>Tower eq. height</t>
  </si>
  <si>
    <t>m/s2</t>
  </si>
  <si>
    <t>Gravity const.</t>
  </si>
  <si>
    <t>Sparger</t>
  </si>
  <si>
    <t>Pump loss recovery</t>
  </si>
  <si>
    <t>∆T gained by pump loss</t>
  </si>
  <si>
    <t>Efficiency</t>
  </si>
  <si>
    <t>Rec. panels piping ∆P</t>
  </si>
  <si>
    <t>Rec. total ∆P</t>
  </si>
  <si>
    <t>Rec. total HLs</t>
  </si>
  <si>
    <t>Rec. total convection HLs</t>
  </si>
  <si>
    <t>Rec. total radiation HLs</t>
  </si>
  <si>
    <t>Total friction heat recovery</t>
  </si>
  <si>
    <t xml:space="preserve">Elbows&amp;headers ∆P </t>
  </si>
  <si>
    <t>Reference flux average</t>
  </si>
  <si>
    <t>Receiver maximal load</t>
  </si>
  <si>
    <t>Receiver loading %</t>
  </si>
  <si>
    <t>Sigle path load</t>
  </si>
  <si>
    <t>Salt maximal mass flow</t>
  </si>
  <si>
    <t xml:space="preserve">Elbows&amp;headers max ∆P </t>
  </si>
  <si>
    <t>Panel flux average</t>
  </si>
  <si>
    <t>Pump nominal efficiency</t>
  </si>
  <si>
    <t>Turndown</t>
  </si>
  <si>
    <t>Pumping power - Total</t>
  </si>
  <si>
    <t>∆T gained by friction recov.</t>
  </si>
  <si>
    <r>
      <rPr>
        <sz val="11"/>
        <color theme="1"/>
        <rFont val="Arial"/>
        <family val="2"/>
      </rPr>
      <t>√</t>
    </r>
    <r>
      <rPr>
        <sz val="11"/>
        <color theme="1"/>
        <rFont val="Calibri"/>
        <family val="2"/>
        <charset val="177"/>
        <scheme val="minor"/>
      </rPr>
      <t xml:space="preserve"> factor</t>
    </r>
  </si>
  <si>
    <t>Pumping power - Tower head</t>
  </si>
  <si>
    <t>Pumping power - Receiver fric.</t>
  </si>
  <si>
    <t>Pumping power - Tower fric.</t>
  </si>
  <si>
    <t>Tower friction ∆P</t>
  </si>
  <si>
    <t>Tower head ∆P</t>
  </si>
  <si>
    <t>Tower piping inner diameter</t>
  </si>
  <si>
    <t>Tower piping velocity</t>
  </si>
  <si>
    <t>Assum.</t>
  </si>
  <si>
    <t>Tower piping inner area</t>
  </si>
  <si>
    <t>Tower piping Reynolds</t>
  </si>
  <si>
    <t>Tower piping viscosity</t>
  </si>
  <si>
    <t>Tower piping kyn. viscosity</t>
  </si>
  <si>
    <t>MS kyn. viscosity</t>
  </si>
  <si>
    <t>Tower piping friction coeff.</t>
  </si>
  <si>
    <t xml:space="preserve">Thermal loss through MSL </t>
  </si>
  <si>
    <t>Ada</t>
  </si>
  <si>
    <t xml:space="preserve">Max thermal loss through MSL </t>
  </si>
  <si>
    <t>Negligible</t>
  </si>
  <si>
    <t>Receiver 1/2 piping area</t>
  </si>
  <si>
    <t>Generic Panel Configuration</t>
  </si>
  <si>
    <t>Revised Configuration</t>
  </si>
  <si>
    <t>T91</t>
  </si>
  <si>
    <t>Tube OD/MWT</t>
  </si>
  <si>
    <t># of panels</t>
  </si>
  <si>
    <t>Total width</t>
  </si>
  <si>
    <t>Total length</t>
  </si>
  <si>
    <t>Pass out temp</t>
  </si>
  <si>
    <t>Design temp</t>
  </si>
  <si>
    <t>Design pressure</t>
  </si>
  <si>
    <t>Header Alloy</t>
  </si>
  <si>
    <t>25.4/1.5mm</t>
  </si>
  <si>
    <t>SA106C</t>
  </si>
  <si>
    <t>P91</t>
  </si>
  <si>
    <t>INC617</t>
  </si>
  <si>
    <t>SS347</t>
  </si>
  <si>
    <t>Review formulas and update</t>
  </si>
  <si>
    <t>Flux limit (AP)</t>
  </si>
  <si>
    <t>Panel Material</t>
  </si>
  <si>
    <t>Nominal flux</t>
  </si>
  <si>
    <t>Receiver nominal load</t>
  </si>
  <si>
    <t>Loading flux</t>
  </si>
  <si>
    <t>Neg.</t>
  </si>
  <si>
    <t>design size factor</t>
  </si>
  <si>
    <t>Heat Loss</t>
  </si>
  <si>
    <t>Loading%</t>
  </si>
  <si>
    <t>No. of pipes per panel</t>
  </si>
  <si>
    <t>Area</t>
  </si>
  <si>
    <t>Diameter</t>
  </si>
  <si>
    <t>panels per pass</t>
  </si>
  <si>
    <t>Absorptivity</t>
  </si>
  <si>
    <t>Assumed to be equal to the panel pressure drop</t>
  </si>
  <si>
    <t>Receiver Area</t>
  </si>
  <si>
    <t>D vs. H</t>
  </si>
  <si>
    <t>alpha</t>
  </si>
  <si>
    <t>beta</t>
  </si>
  <si>
    <t>Twall</t>
  </si>
  <si>
    <t>Load</t>
  </si>
  <si>
    <t>Parasitics to tower [MW]</t>
  </si>
  <si>
    <t>Susan 1 nov</t>
  </si>
  <si>
    <t>CMI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</si>
</sst>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64" formatCode="0.0"/>
    <numFmt numFmtId="165" formatCode="0.000"/>
    <numFmt numFmtId="166" formatCode="0.00000"/>
    <numFmt numFmtId="167" formatCode="0.0000"/>
    <numFmt numFmtId="168" formatCode="0.000000"/>
    <numFmt numFmtId="169" formatCode="0.0%"/>
    <numFmt numFmtId="170" formatCode="[$-409]d/mmm/yy;@"/>
  </numFmts>
  <fonts count="12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</font>
    <font>
      <sz val="11"/>
      <color theme="1"/>
      <name val="Arial"/>
      <family val="2"/>
      <charset val="177"/>
    </font>
    <font>
      <sz val="10"/>
      <name val="Arial"/>
      <family val="2"/>
    </font>
    <font>
      <sz val="11"/>
      <color theme="1"/>
      <name val="Calibri"/>
      <family val="2"/>
      <charset val="177"/>
      <scheme val="minor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3" fillId="0" borderId="0"/>
    <xf numFmtId="9" fontId="4" fillId="0" borderId="0" applyFont="0" applyFill="0" applyBorder="0" applyAlignment="0" applyProtection="0"/>
    <xf numFmtId="170" fontId="11" fillId="0" borderId="0"/>
    <xf numFmtId="170" fontId="3" fillId="0" borderId="0"/>
    <xf numFmtId="0" fontId="6" fillId="0" borderId="0"/>
    <xf numFmtId="9" fontId="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81">
    <xf numFmtId="0" fontId="0" fillId="0" borderId="0" xfId="0"/>
    <xf numFmtId="0" fontId="0" fillId="2" borderId="0" xfId="0" applyFill="1"/>
    <xf numFmtId="0" fontId="0" fillId="0" borderId="2" xfId="0" applyBorder="1"/>
    <xf numFmtId="164" fontId="0" fillId="0" borderId="2" xfId="0" applyNumberFormat="1" applyBorder="1"/>
    <xf numFmtId="0" fontId="0" fillId="0" borderId="3" xfId="0" applyBorder="1"/>
    <xf numFmtId="164" fontId="0" fillId="0" borderId="2" xfId="0" applyNumberFormat="1" applyFill="1" applyBorder="1"/>
    <xf numFmtId="1" fontId="0" fillId="0" borderId="2" xfId="0" applyNumberFormat="1" applyFill="1" applyBorder="1"/>
    <xf numFmtId="2" fontId="0" fillId="0" borderId="0" xfId="0" applyNumberFormat="1"/>
    <xf numFmtId="2" fontId="0" fillId="0" borderId="2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6" fontId="0" fillId="0" borderId="2" xfId="0" applyNumberFormat="1" applyBorder="1"/>
    <xf numFmtId="167" fontId="0" fillId="0" borderId="2" xfId="0" applyNumberFormat="1" applyBorder="1"/>
    <xf numFmtId="1" fontId="0" fillId="0" borderId="2" xfId="0" applyNumberFormat="1" applyBorder="1"/>
    <xf numFmtId="168" fontId="0" fillId="0" borderId="2" xfId="0" applyNumberFormat="1" applyBorder="1"/>
    <xf numFmtId="164" fontId="0" fillId="0" borderId="0" xfId="0" applyNumberFormat="1"/>
    <xf numFmtId="0" fontId="0" fillId="0" borderId="7" xfId="0" applyBorder="1"/>
    <xf numFmtId="0" fontId="0" fillId="0" borderId="8" xfId="0" applyBorder="1"/>
    <xf numFmtId="0" fontId="0" fillId="2" borderId="8" xfId="0" applyFill="1" applyBorder="1"/>
    <xf numFmtId="0" fontId="0" fillId="0" borderId="11" xfId="0" applyBorder="1"/>
    <xf numFmtId="0" fontId="0" fillId="0" borderId="0" xfId="0" applyBorder="1"/>
    <xf numFmtId="0" fontId="0" fillId="2" borderId="0" xfId="0" applyFill="1" applyBorder="1"/>
    <xf numFmtId="0" fontId="2" fillId="0" borderId="11" xfId="0" applyFont="1" applyBorder="1"/>
    <xf numFmtId="167" fontId="0" fillId="0" borderId="0" xfId="0" applyNumberFormat="1" applyBorder="1"/>
    <xf numFmtId="0" fontId="2" fillId="0" borderId="9" xfId="0" applyFont="1" applyBorder="1"/>
    <xf numFmtId="0" fontId="0" fillId="0" borderId="10" xfId="0" applyBorder="1"/>
    <xf numFmtId="0" fontId="0" fillId="0" borderId="9" xfId="0" applyBorder="1"/>
    <xf numFmtId="0" fontId="0" fillId="2" borderId="10" xfId="0" applyFill="1" applyBorder="1"/>
    <xf numFmtId="164" fontId="0" fillId="5" borderId="2" xfId="0" applyNumberFormat="1" applyFill="1" applyBorder="1"/>
    <xf numFmtId="165" fontId="0" fillId="5" borderId="2" xfId="0" applyNumberFormat="1" applyFill="1" applyBorder="1"/>
    <xf numFmtId="0" fontId="0" fillId="5" borderId="0" xfId="0" applyFill="1"/>
    <xf numFmtId="0" fontId="0" fillId="6" borderId="8" xfId="0" applyFill="1" applyBorder="1"/>
    <xf numFmtId="0" fontId="0" fillId="6" borderId="0" xfId="0" applyFill="1" applyBorder="1"/>
    <xf numFmtId="0" fontId="0" fillId="6" borderId="0" xfId="0" applyFill="1"/>
    <xf numFmtId="0" fontId="0" fillId="0" borderId="12" xfId="0" applyBorder="1"/>
    <xf numFmtId="2" fontId="0" fillId="7" borderId="0" xfId="0" applyNumberFormat="1" applyFill="1"/>
    <xf numFmtId="164" fontId="0" fillId="7" borderId="0" xfId="0" applyNumberFormat="1" applyFill="1"/>
    <xf numFmtId="166" fontId="0" fillId="0" borderId="0" xfId="0" applyNumberFormat="1"/>
    <xf numFmtId="164" fontId="0" fillId="2" borderId="0" xfId="0" applyNumberFormat="1" applyFill="1"/>
    <xf numFmtId="2" fontId="0" fillId="0" borderId="2" xfId="0" applyNumberFormat="1" applyFill="1" applyBorder="1"/>
    <xf numFmtId="2" fontId="0" fillId="2" borderId="0" xfId="0" applyNumberFormat="1" applyFill="1" applyBorder="1"/>
    <xf numFmtId="164" fontId="0" fillId="0" borderId="0" xfId="0" applyNumberFormat="1" applyFill="1" applyBorder="1"/>
    <xf numFmtId="0" fontId="0" fillId="0" borderId="0" xfId="0" applyFill="1" applyBorder="1"/>
    <xf numFmtId="1" fontId="0" fillId="0" borderId="0" xfId="0" applyNumberFormat="1" applyFill="1" applyBorder="1"/>
    <xf numFmtId="167" fontId="0" fillId="5" borderId="2" xfId="0" applyNumberFormat="1" applyFill="1" applyBorder="1"/>
    <xf numFmtId="165" fontId="0" fillId="0" borderId="2" xfId="0" applyNumberFormat="1" applyBorder="1"/>
    <xf numFmtId="0" fontId="0" fillId="8" borderId="0" xfId="0" applyFill="1" applyBorder="1"/>
    <xf numFmtId="0" fontId="0" fillId="8" borderId="8" xfId="0" applyFill="1" applyBorder="1"/>
    <xf numFmtId="0" fontId="0" fillId="8" borderId="10" xfId="0" applyFill="1" applyBorder="1"/>
    <xf numFmtId="0" fontId="0" fillId="8" borderId="0" xfId="0" applyFill="1"/>
    <xf numFmtId="0" fontId="3" fillId="0" borderId="0" xfId="1"/>
    <xf numFmtId="0" fontId="3" fillId="0" borderId="24" xfId="1" applyBorder="1"/>
    <xf numFmtId="0" fontId="3" fillId="0" borderId="25" xfId="1" applyBorder="1"/>
    <xf numFmtId="0" fontId="3" fillId="0" borderId="24" xfId="1" applyBorder="1" applyAlignment="1">
      <alignment horizontal="center"/>
    </xf>
    <xf numFmtId="0" fontId="3" fillId="0" borderId="25" xfId="1" applyBorder="1" applyAlignment="1">
      <alignment horizontal="center"/>
    </xf>
    <xf numFmtId="0" fontId="3" fillId="0" borderId="26" xfId="1" applyBorder="1" applyAlignment="1">
      <alignment horizontal="center"/>
    </xf>
    <xf numFmtId="0" fontId="3" fillId="0" borderId="27" xfId="1" applyBorder="1" applyAlignment="1">
      <alignment horizontal="center"/>
    </xf>
    <xf numFmtId="2" fontId="0" fillId="8" borderId="2" xfId="0" applyNumberFormat="1" applyFill="1" applyBorder="1"/>
    <xf numFmtId="165" fontId="0" fillId="3" borderId="8" xfId="0" applyNumberFormat="1" applyFill="1" applyBorder="1"/>
    <xf numFmtId="0" fontId="0" fillId="3" borderId="0" xfId="0" applyFill="1"/>
    <xf numFmtId="167" fontId="0" fillId="0" borderId="2" xfId="0" applyNumberFormat="1" applyFill="1" applyBorder="1"/>
    <xf numFmtId="167" fontId="0" fillId="9" borderId="2" xfId="0" applyNumberFormat="1" applyFill="1" applyBorder="1"/>
    <xf numFmtId="0" fontId="0" fillId="9" borderId="0" xfId="0" applyFill="1"/>
    <xf numFmtId="164" fontId="0" fillId="10" borderId="0" xfId="0" applyNumberFormat="1" applyFill="1"/>
    <xf numFmtId="9" fontId="0" fillId="0" borderId="0" xfId="2" applyFont="1"/>
    <xf numFmtId="165" fontId="0" fillId="3" borderId="0" xfId="0" applyNumberFormat="1" applyFill="1" applyBorder="1"/>
    <xf numFmtId="164" fontId="0" fillId="3" borderId="0" xfId="0" applyNumberFormat="1" applyFill="1" applyBorder="1"/>
    <xf numFmtId="0" fontId="0" fillId="0" borderId="11" xfId="0" applyFill="1" applyBorder="1"/>
    <xf numFmtId="0" fontId="0" fillId="0" borderId="5" xfId="0" applyFill="1" applyBorder="1"/>
    <xf numFmtId="0" fontId="0" fillId="0" borderId="9" xfId="0" applyFill="1" applyBorder="1"/>
    <xf numFmtId="0" fontId="0" fillId="0" borderId="10" xfId="0" applyFill="1" applyBorder="1"/>
    <xf numFmtId="0" fontId="1" fillId="0" borderId="5" xfId="0" applyFont="1" applyFill="1" applyBorder="1"/>
    <xf numFmtId="0" fontId="1" fillId="0" borderId="6" xfId="0" applyFont="1" applyFill="1" applyBorder="1"/>
    <xf numFmtId="11" fontId="0" fillId="3" borderId="0" xfId="0" applyNumberFormat="1" applyFill="1" applyBorder="1"/>
    <xf numFmtId="2" fontId="0" fillId="9" borderId="2" xfId="0" applyNumberFormat="1" applyFill="1" applyBorder="1"/>
    <xf numFmtId="2" fontId="0" fillId="3" borderId="10" xfId="0" applyNumberFormat="1" applyFill="1" applyBorder="1"/>
    <xf numFmtId="1" fontId="0" fillId="0" borderId="0" xfId="0" applyNumberFormat="1"/>
    <xf numFmtId="164" fontId="0" fillId="9" borderId="10" xfId="0" applyNumberFormat="1" applyFill="1" applyBorder="1"/>
    <xf numFmtId="0" fontId="0" fillId="10" borderId="0" xfId="0" applyFill="1"/>
    <xf numFmtId="9" fontId="0" fillId="0" borderId="0" xfId="0" applyNumberFormat="1"/>
    <xf numFmtId="2" fontId="0" fillId="9" borderId="0" xfId="0" applyNumberFormat="1" applyFill="1"/>
    <xf numFmtId="164" fontId="0" fillId="9" borderId="0" xfId="0" applyNumberFormat="1" applyFill="1" applyBorder="1"/>
    <xf numFmtId="2" fontId="0" fillId="2" borderId="1" xfId="0" applyNumberFormat="1" applyFill="1" applyBorder="1"/>
    <xf numFmtId="169" fontId="0" fillId="0" borderId="0" xfId="2" applyNumberFormat="1" applyFont="1" applyFill="1" applyBorder="1"/>
    <xf numFmtId="0" fontId="0" fillId="0" borderId="0" xfId="0" applyFill="1"/>
    <xf numFmtId="164" fontId="0" fillId="11" borderId="2" xfId="0" applyNumberFormat="1" applyFill="1" applyBorder="1"/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164" fontId="0" fillId="0" borderId="0" xfId="0" applyNumberFormat="1" applyBorder="1"/>
    <xf numFmtId="2" fontId="0" fillId="0" borderId="5" xfId="0" applyNumberFormat="1" applyBorder="1"/>
    <xf numFmtId="2" fontId="0" fillId="0" borderId="8" xfId="0" applyNumberFormat="1" applyBorder="1"/>
    <xf numFmtId="0" fontId="6" fillId="0" borderId="7" xfId="0" applyFont="1" applyBorder="1"/>
    <xf numFmtId="0" fontId="6" fillId="0" borderId="8" xfId="0" applyFont="1" applyBorder="1"/>
    <xf numFmtId="0" fontId="6" fillId="0" borderId="0" xfId="0" applyFont="1" applyBorder="1"/>
    <xf numFmtId="0" fontId="6" fillId="0" borderId="11" xfId="0" applyFont="1" applyBorder="1"/>
    <xf numFmtId="2" fontId="6" fillId="0" borderId="0" xfId="0" applyNumberFormat="1" applyFont="1" applyBorder="1"/>
    <xf numFmtId="2" fontId="6" fillId="0" borderId="8" xfId="0" applyNumberFormat="1" applyFont="1" applyBorder="1"/>
    <xf numFmtId="164" fontId="6" fillId="0" borderId="0" xfId="0" applyNumberFormat="1" applyFont="1" applyFill="1" applyBorder="1"/>
    <xf numFmtId="0" fontId="7" fillId="0" borderId="7" xfId="0" applyFont="1" applyBorder="1"/>
    <xf numFmtId="0" fontId="7" fillId="0" borderId="8" xfId="0" applyFont="1" applyBorder="1"/>
    <xf numFmtId="164" fontId="7" fillId="9" borderId="8" xfId="0" applyNumberFormat="1" applyFont="1" applyFill="1" applyBorder="1"/>
    <xf numFmtId="0" fontId="7" fillId="0" borderId="4" xfId="0" applyFont="1" applyBorder="1"/>
    <xf numFmtId="0" fontId="7" fillId="0" borderId="9" xfId="0" applyFont="1" applyBorder="1"/>
    <xf numFmtId="0" fontId="7" fillId="0" borderId="10" xfId="0" applyFont="1" applyBorder="1"/>
    <xf numFmtId="2" fontId="7" fillId="9" borderId="10" xfId="0" applyNumberFormat="1" applyFont="1" applyFill="1" applyBorder="1"/>
    <xf numFmtId="2" fontId="7" fillId="9" borderId="0" xfId="0" applyNumberFormat="1" applyFont="1" applyFill="1" applyBorder="1"/>
    <xf numFmtId="9" fontId="0" fillId="12" borderId="0" xfId="0" applyNumberFormat="1" applyFill="1"/>
    <xf numFmtId="169" fontId="0" fillId="0" borderId="0" xfId="0" applyNumberFormat="1" applyFill="1" applyBorder="1"/>
    <xf numFmtId="164" fontId="6" fillId="13" borderId="0" xfId="0" applyNumberFormat="1" applyFont="1" applyFill="1" applyBorder="1"/>
    <xf numFmtId="164" fontId="0" fillId="2" borderId="0" xfId="0" applyNumberFormat="1" applyFill="1" applyBorder="1"/>
    <xf numFmtId="165" fontId="0" fillId="0" borderId="0" xfId="0" applyNumberFormat="1" applyFill="1" applyBorder="1"/>
    <xf numFmtId="164" fontId="0" fillId="0" borderId="10" xfId="0" applyNumberFormat="1" applyFill="1" applyBorder="1"/>
    <xf numFmtId="2" fontId="0" fillId="0" borderId="6" xfId="0" applyNumberFormat="1" applyBorder="1"/>
    <xf numFmtId="2" fontId="0" fillId="0" borderId="0" xfId="0" applyNumberFormat="1" applyBorder="1"/>
    <xf numFmtId="0" fontId="0" fillId="0" borderId="8" xfId="0" applyFill="1" applyBorder="1"/>
    <xf numFmtId="164" fontId="0" fillId="2" borderId="8" xfId="0" applyNumberFormat="1" applyFill="1" applyBorder="1"/>
    <xf numFmtId="2" fontId="0" fillId="0" borderId="4" xfId="0" applyNumberFormat="1" applyBorder="1"/>
    <xf numFmtId="165" fontId="0" fillId="0" borderId="10" xfId="0" applyNumberFormat="1" applyFill="1" applyBorder="1"/>
    <xf numFmtId="169" fontId="0" fillId="2" borderId="8" xfId="0" applyNumberFormat="1" applyFill="1" applyBorder="1"/>
    <xf numFmtId="169" fontId="0" fillId="0" borderId="10" xfId="0" applyNumberFormat="1" applyFill="1" applyBorder="1"/>
    <xf numFmtId="0" fontId="6" fillId="0" borderId="6" xfId="0" applyFont="1" applyBorder="1"/>
    <xf numFmtId="0" fontId="0" fillId="0" borderId="12" xfId="0" applyFill="1" applyBorder="1"/>
    <xf numFmtId="0" fontId="0" fillId="0" borderId="13" xfId="0" applyBorder="1"/>
    <xf numFmtId="0" fontId="0" fillId="0" borderId="13" xfId="0" applyFill="1" applyBorder="1"/>
    <xf numFmtId="2" fontId="0" fillId="0" borderId="3" xfId="0" applyNumberFormat="1" applyBorder="1"/>
    <xf numFmtId="1" fontId="0" fillId="2" borderId="2" xfId="0" applyNumberFormat="1" applyFill="1" applyBorder="1"/>
    <xf numFmtId="0" fontId="0" fillId="14" borderId="12" xfId="0" applyFill="1" applyBorder="1"/>
    <xf numFmtId="0" fontId="0" fillId="14" borderId="0" xfId="0" applyFill="1"/>
    <xf numFmtId="2" fontId="0" fillId="0" borderId="1" xfId="0" applyNumberFormat="1" applyFill="1" applyBorder="1"/>
    <xf numFmtId="2" fontId="0" fillId="0" borderId="5" xfId="0" applyNumberFormat="1" applyFill="1" applyBorder="1"/>
    <xf numFmtId="0" fontId="0" fillId="12" borderId="0" xfId="0" applyFill="1" applyBorder="1"/>
    <xf numFmtId="2" fontId="0" fillId="14" borderId="2" xfId="0" applyNumberFormat="1" applyFill="1" applyBorder="1"/>
    <xf numFmtId="9" fontId="0" fillId="2" borderId="0" xfId="0" applyNumberFormat="1" applyFill="1"/>
    <xf numFmtId="9" fontId="0" fillId="4" borderId="0" xfId="0" applyNumberFormat="1" applyFill="1"/>
    <xf numFmtId="164" fontId="0" fillId="0" borderId="5" xfId="0" applyNumberFormat="1" applyBorder="1"/>
    <xf numFmtId="0" fontId="7" fillId="2" borderId="0" xfId="0" applyFont="1" applyFill="1"/>
    <xf numFmtId="0" fontId="7" fillId="2" borderId="0" xfId="0" applyFont="1" applyFill="1" applyBorder="1"/>
    <xf numFmtId="2" fontId="0" fillId="0" borderId="7" xfId="0" applyNumberFormat="1" applyBorder="1"/>
    <xf numFmtId="0" fontId="7" fillId="0" borderId="11" xfId="0" applyFont="1" applyBorder="1"/>
    <xf numFmtId="0" fontId="7" fillId="0" borderId="0" xfId="0" applyFont="1"/>
    <xf numFmtId="0" fontId="2" fillId="0" borderId="11" xfId="0" applyFont="1" applyFill="1" applyBorder="1"/>
    <xf numFmtId="164" fontId="6" fillId="2" borderId="0" xfId="0" applyNumberFormat="1" applyFont="1" applyFill="1" applyBorder="1"/>
    <xf numFmtId="169" fontId="0" fillId="0" borderId="0" xfId="2" applyNumberFormat="1" applyFont="1"/>
    <xf numFmtId="2" fontId="0" fillId="3" borderId="0" xfId="0" applyNumberFormat="1" applyFill="1" applyBorder="1"/>
    <xf numFmtId="0" fontId="2" fillId="0" borderId="0" xfId="0" applyFont="1" applyFill="1" applyBorder="1"/>
    <xf numFmtId="168" fontId="0" fillId="0" borderId="2" xfId="0" applyNumberFormat="1" applyFill="1" applyBorder="1"/>
    <xf numFmtId="0" fontId="7" fillId="0" borderId="0" xfId="0" applyFont="1" applyBorder="1"/>
    <xf numFmtId="0" fontId="0" fillId="0" borderId="0" xfId="0"/>
    <xf numFmtId="2" fontId="0" fillId="0" borderId="0" xfId="0" applyNumberFormat="1"/>
    <xf numFmtId="169" fontId="0" fillId="2" borderId="10" xfId="0" applyNumberFormat="1" applyFill="1" applyBorder="1"/>
    <xf numFmtId="169" fontId="0" fillId="15" borderId="8" xfId="0" applyNumberFormat="1" applyFill="1" applyBorder="1"/>
    <xf numFmtId="164" fontId="5" fillId="0" borderId="0" xfId="8" applyNumberFormat="1" applyFont="1" applyFill="1" applyBorder="1" applyAlignment="1">
      <alignment horizontal="center" vertical="center"/>
    </xf>
    <xf numFmtId="2" fontId="0" fillId="4" borderId="7" xfId="0" applyNumberFormat="1" applyFill="1" applyBorder="1"/>
    <xf numFmtId="0" fontId="7" fillId="4" borderId="8" xfId="0" applyFont="1" applyFill="1" applyBorder="1"/>
    <xf numFmtId="0" fontId="7" fillId="4" borderId="11" xfId="0" applyFont="1" applyFill="1" applyBorder="1"/>
    <xf numFmtId="2" fontId="0" fillId="4" borderId="0" xfId="0" applyNumberFormat="1" applyFill="1" applyBorder="1"/>
    <xf numFmtId="2" fontId="0" fillId="4" borderId="5" xfId="0" applyNumberFormat="1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4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6" xfId="0" applyFill="1" applyBorder="1"/>
    <xf numFmtId="2" fontId="0" fillId="0" borderId="0" xfId="0" applyNumberFormat="1" applyFill="1" applyBorder="1"/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6" xfId="1" applyFont="1" applyBorder="1" applyAlignment="1">
      <alignment horizontal="center"/>
    </xf>
    <xf numFmtId="0" fontId="5" fillId="0" borderId="17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4" borderId="22" xfId="1" applyFont="1" applyFill="1" applyBorder="1" applyAlignment="1">
      <alignment horizontal="center"/>
    </xf>
    <xf numFmtId="0" fontId="5" fillId="4" borderId="23" xfId="1" applyFont="1" applyFill="1" applyBorder="1" applyAlignment="1">
      <alignment horizontal="center"/>
    </xf>
    <xf numFmtId="2" fontId="0" fillId="2" borderId="10" xfId="0" applyNumberFormat="1" applyFill="1" applyBorder="1"/>
  </cellXfs>
  <cellStyles count="9">
    <cellStyle name="Comma 2" xfId="7"/>
    <cellStyle name="Comma 4" xfId="8"/>
    <cellStyle name="Normal" xfId="0" builtinId="0"/>
    <cellStyle name="Normal 2" xfId="1"/>
    <cellStyle name="Normal 2 2" xfId="4"/>
    <cellStyle name="Normal 2 3" xfId="3"/>
    <cellStyle name="Normal 3" xfId="5"/>
    <cellStyle name="Percent" xfId="2" builtinId="5"/>
    <cellStyle name="Percent 2" xfId="6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MS average temperature</c:v>
          </c:tx>
          <c:xVal>
            <c:numRef>
              <c:f>Design!$I$13:$P$13</c:f>
              <c:numCache>
                <c:formatCode>0</c:formatCode>
                <c:ptCount val="8"/>
                <c:pt idx="0">
                  <c:v>720.66246522371216</c:v>
                </c:pt>
                <c:pt idx="1">
                  <c:v>684.62934196252661</c:v>
                </c:pt>
                <c:pt idx="2">
                  <c:v>648.59621870134094</c:v>
                </c:pt>
                <c:pt idx="3">
                  <c:v>612.56309544015528</c:v>
                </c:pt>
                <c:pt idx="4">
                  <c:v>576.52997217896984</c:v>
                </c:pt>
                <c:pt idx="5">
                  <c:v>540.49684891778406</c:v>
                </c:pt>
                <c:pt idx="6">
                  <c:v>504.46372565659857</c:v>
                </c:pt>
                <c:pt idx="7">
                  <c:v>468.4306023954129</c:v>
                </c:pt>
              </c:numCache>
            </c:numRef>
          </c:xVal>
          <c:yVal>
            <c:numRef>
              <c:f>Design!$I$21:$P$21</c:f>
              <c:numCache>
                <c:formatCode>0.0</c:formatCode>
                <c:ptCount val="8"/>
                <c:pt idx="0">
                  <c:v>315.73340645407097</c:v>
                </c:pt>
                <c:pt idx="1">
                  <c:v>356.07012358350119</c:v>
                </c:pt>
                <c:pt idx="2">
                  <c:v>394.16207642907818</c:v>
                </c:pt>
                <c:pt idx="3">
                  <c:v>430.03899586421915</c:v>
                </c:pt>
                <c:pt idx="4">
                  <c:v>463.72842594890687</c:v>
                </c:pt>
                <c:pt idx="5">
                  <c:v>495.25583904346183</c:v>
                </c:pt>
                <c:pt idx="6">
                  <c:v>524.64473957946541</c:v>
                </c:pt>
                <c:pt idx="7">
                  <c:v>551.91675754737298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EE-4EF5-BF8E-4CFAE1A3E30D}"/>
            </c:ext>
          </c:extLst>
        </c:ser>
        <c:ser>
          <c:idx val="1"/>
          <c:order val="1"/>
          <c:tx>
            <c:v>Skin temperature</c:v>
          </c:tx>
          <c:xVal>
            <c:numRef>
              <c:f>Design!$I$13:$P$13</c:f>
              <c:numCache>
                <c:formatCode>0</c:formatCode>
                <c:ptCount val="8"/>
                <c:pt idx="0">
                  <c:v>720.66246522371216</c:v>
                </c:pt>
                <c:pt idx="1">
                  <c:v>684.62934196252661</c:v>
                </c:pt>
                <c:pt idx="2">
                  <c:v>648.59621870134094</c:v>
                </c:pt>
                <c:pt idx="3">
                  <c:v>612.56309544015528</c:v>
                </c:pt>
                <c:pt idx="4">
                  <c:v>576.52997217896984</c:v>
                </c:pt>
                <c:pt idx="5">
                  <c:v>540.49684891778406</c:v>
                </c:pt>
                <c:pt idx="6">
                  <c:v>504.46372565659857</c:v>
                </c:pt>
                <c:pt idx="7">
                  <c:v>468.4306023954129</c:v>
                </c:pt>
              </c:numCache>
            </c:numRef>
          </c:xVal>
          <c:yVal>
            <c:numRef>
              <c:f>Design!$I$50:$P$50</c:f>
              <c:numCache>
                <c:formatCode>0</c:formatCode>
                <c:ptCount val="8"/>
                <c:pt idx="0">
                  <c:v>466.85385756717085</c:v>
                </c:pt>
                <c:pt idx="1">
                  <c:v>489.82643894002945</c:v>
                </c:pt>
                <c:pt idx="2">
                  <c:v>513.90066989938725</c:v>
                </c:pt>
                <c:pt idx="3">
                  <c:v>538.38531723607048</c:v>
                </c:pt>
                <c:pt idx="4">
                  <c:v>562.54295907295068</c:v>
                </c:pt>
                <c:pt idx="5">
                  <c:v>585.70795550418779</c:v>
                </c:pt>
                <c:pt idx="6">
                  <c:v>607.37656991627148</c:v>
                </c:pt>
                <c:pt idx="7">
                  <c:v>627.22770611669614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EE-4EF5-BF8E-4CFAE1A3E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636960"/>
        <c:axId val="375637352"/>
      </c:scatterChart>
      <c:valAx>
        <c:axId val="375636960"/>
        <c:scaling>
          <c:orientation val="maxMin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Flux on panel [kW/m2]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375637352"/>
        <c:crosses val="autoZero"/>
        <c:crossBetween val="midCat"/>
      </c:valAx>
      <c:valAx>
        <c:axId val="375637352"/>
        <c:scaling>
          <c:orientation val="minMax"/>
          <c:max val="650"/>
          <c:min val="30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75636960"/>
        <c:crosses val="max"/>
        <c:crossBetween val="midCat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Solar Field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Design!$U$43:$U$47</c:f>
              <c:numCache>
                <c:formatCode>General</c:formatCode>
                <c:ptCount val="5"/>
                <c:pt idx="0">
                  <c:v>90</c:v>
                </c:pt>
                <c:pt idx="1">
                  <c:v>150</c:v>
                </c:pt>
                <c:pt idx="2">
                  <c:v>300</c:v>
                </c:pt>
                <c:pt idx="3">
                  <c:v>450</c:v>
                </c:pt>
                <c:pt idx="4">
                  <c:v>565</c:v>
                </c:pt>
              </c:numCache>
            </c:numRef>
          </c:xVal>
          <c:yVal>
            <c:numRef>
              <c:f>Design!$AH$43:$AH$47</c:f>
              <c:numCache>
                <c:formatCode>0.0%</c:formatCode>
                <c:ptCount val="5"/>
                <c:pt idx="0">
                  <c:v>0.74649269687864028</c:v>
                </c:pt>
                <c:pt idx="1">
                  <c:v>0.81613662771152962</c:v>
                </c:pt>
                <c:pt idx="2">
                  <c:v>0.87834700018770095</c:v>
                </c:pt>
                <c:pt idx="3">
                  <c:v>0.90145353439427334</c:v>
                </c:pt>
                <c:pt idx="4">
                  <c:v>0.91121484242755879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AE-412C-9D58-71DAB0DEC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638136"/>
        <c:axId val="375638528"/>
      </c:scatterChart>
      <c:valAx>
        <c:axId val="375638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Load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638528"/>
        <c:crosses val="autoZero"/>
        <c:crossBetween val="midCat"/>
      </c:valAx>
      <c:valAx>
        <c:axId val="37563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638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Solar Field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Design!$AH$51:$AL$51</c:f>
              <c:numCache>
                <c:formatCode>General</c:formatCode>
                <c:ptCount val="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27</c:v>
                </c:pt>
                <c:pt idx="4">
                  <c:v>30</c:v>
                </c:pt>
              </c:numCache>
            </c:numRef>
          </c:xVal>
          <c:yVal>
            <c:numRef>
              <c:f>Design!$AH$52:$AL$52</c:f>
              <c:numCache>
                <c:formatCode>0.0%</c:formatCode>
                <c:ptCount val="5"/>
                <c:pt idx="0">
                  <c:v>0.71770623564595126</c:v>
                </c:pt>
                <c:pt idx="1">
                  <c:v>0.71959271381251755</c:v>
                </c:pt>
                <c:pt idx="2">
                  <c:v>0.721519136708206</c:v>
                </c:pt>
                <c:pt idx="3">
                  <c:v>0.72289285714176132</c:v>
                </c:pt>
                <c:pt idx="4">
                  <c:v>0.72348823611753788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0F-4D37-8F36-58AB49492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639312"/>
        <c:axId val="375639704"/>
      </c:scatterChart>
      <c:valAx>
        <c:axId val="37563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Ambient</a:t>
                </a:r>
                <a:r>
                  <a:rPr lang="en-US" baseline="0"/>
                  <a:t> Temperature [C]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639704"/>
        <c:crosses val="autoZero"/>
        <c:crossBetween val="midCat"/>
      </c:valAx>
      <c:valAx>
        <c:axId val="37563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639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Solar Field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Design!$AH$42:$AL$42</c:f>
              <c:numCache>
                <c:formatCode>General</c:formatCode>
                <c:ptCount val="5"/>
                <c:pt idx="0">
                  <c:v>5</c:v>
                </c:pt>
                <c:pt idx="1">
                  <c:v>7.5</c:v>
                </c:pt>
                <c:pt idx="2">
                  <c:v>10</c:v>
                </c:pt>
                <c:pt idx="3">
                  <c:v>12.5</c:v>
                </c:pt>
                <c:pt idx="4">
                  <c:v>15</c:v>
                </c:pt>
              </c:numCache>
            </c:numRef>
          </c:xVal>
          <c:yVal>
            <c:numRef>
              <c:f>Design!$AH$43:$AL$43</c:f>
              <c:numCache>
                <c:formatCode>0.0%</c:formatCode>
                <c:ptCount val="5"/>
                <c:pt idx="0">
                  <c:v>0.74649269687864028</c:v>
                </c:pt>
                <c:pt idx="1">
                  <c:v>0.71722422274554487</c:v>
                </c:pt>
                <c:pt idx="2">
                  <c:v>0.69016427260176549</c:v>
                </c:pt>
                <c:pt idx="3">
                  <c:v>0.66507196043405969</c:v>
                </c:pt>
                <c:pt idx="4">
                  <c:v>0.64174020285145994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D6-4F6E-BFF9-524653E95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642056"/>
        <c:axId val="375642448"/>
      </c:scatterChart>
      <c:valAx>
        <c:axId val="375642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Wind Speed [m/s]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642448"/>
        <c:crosses val="autoZero"/>
        <c:crossBetween val="midCat"/>
      </c:valAx>
      <c:valAx>
        <c:axId val="37564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64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Interp.!$B$12</c:f>
              <c:strCache>
                <c:ptCount val="1"/>
                <c:pt idx="0">
                  <c:v>Single pipe mass flow: 1.7 kg/s </c:v>
                </c:pt>
              </c:strCache>
            </c:strRef>
          </c:tx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2.8518746825775286E-2"/>
                  <c:y val="8.774195518186427E-2"/>
                </c:manualLayout>
              </c:layout>
              <c:numFmt formatCode="General" sourceLinked="0"/>
            </c:trendlineLbl>
          </c:trendline>
          <c:xVal>
            <c:numRef>
              <c:f>Interp.!$C$12:$C$14</c:f>
              <c:numCache>
                <c:formatCode>General</c:formatCode>
                <c:ptCount val="3"/>
                <c:pt idx="0">
                  <c:v>290</c:v>
                </c:pt>
                <c:pt idx="1">
                  <c:v>355</c:v>
                </c:pt>
                <c:pt idx="2">
                  <c:v>470</c:v>
                </c:pt>
              </c:numCache>
            </c:numRef>
          </c:xVal>
          <c:yVal>
            <c:numRef>
              <c:f>Interp.!$D$12:$D$14</c:f>
              <c:numCache>
                <c:formatCode>General</c:formatCode>
                <c:ptCount val="3"/>
                <c:pt idx="0">
                  <c:v>325</c:v>
                </c:pt>
                <c:pt idx="1">
                  <c:v>400</c:v>
                </c:pt>
                <c:pt idx="2">
                  <c:v>490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3-40C6-B167-780AF126DB8D}"/>
            </c:ext>
          </c:extLst>
        </c:ser>
        <c:ser>
          <c:idx val="1"/>
          <c:order val="1"/>
          <c:tx>
            <c:strRef>
              <c:f>Interp.!$B$17</c:f>
              <c:strCache>
                <c:ptCount val="1"/>
                <c:pt idx="0">
                  <c:v>Single pipe mass flow: 5 kg/s</c:v>
                </c:pt>
              </c:strCache>
            </c:strRef>
          </c:tx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5.2879579122033678E-3"/>
                  <c:y val="8.751162689173847E-2"/>
                </c:manualLayout>
              </c:layout>
              <c:numFmt formatCode="General" sourceLinked="0"/>
            </c:trendlineLbl>
          </c:trendline>
          <c:xVal>
            <c:numRef>
              <c:f>Interp.!$C$17:$C$19</c:f>
              <c:numCache>
                <c:formatCode>General</c:formatCode>
                <c:ptCount val="3"/>
                <c:pt idx="0">
                  <c:v>290</c:v>
                </c:pt>
                <c:pt idx="1">
                  <c:v>385</c:v>
                </c:pt>
                <c:pt idx="2">
                  <c:v>470</c:v>
                </c:pt>
              </c:numCache>
            </c:numRef>
          </c:xVal>
          <c:yVal>
            <c:numRef>
              <c:f>Interp.!$D$17:$D$19</c:f>
              <c:numCache>
                <c:formatCode>General</c:formatCode>
                <c:ptCount val="3"/>
                <c:pt idx="0">
                  <c:v>655</c:v>
                </c:pt>
                <c:pt idx="1">
                  <c:v>800</c:v>
                </c:pt>
                <c:pt idx="2">
                  <c:v>890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53-40C6-B167-780AF126DB8D}"/>
            </c:ext>
          </c:extLst>
        </c:ser>
        <c:ser>
          <c:idx val="2"/>
          <c:order val="2"/>
          <c:tx>
            <c:strRef>
              <c:f>Interp.!$B$22</c:f>
              <c:strCache>
                <c:ptCount val="1"/>
                <c:pt idx="0">
                  <c:v>Single pipe mass flow: 10 kg/s</c:v>
                </c:pt>
              </c:strCache>
            </c:strRef>
          </c:tx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4.0009924904143263E-2"/>
                  <c:y val="-4.7133738514719983E-2"/>
                </c:manualLayout>
              </c:layout>
              <c:numFmt formatCode="General" sourceLinked="0"/>
            </c:trendlineLbl>
          </c:trendline>
          <c:xVal>
            <c:numRef>
              <c:f>Interp.!$C$22:$C$24</c:f>
              <c:numCache>
                <c:formatCode>General</c:formatCode>
                <c:ptCount val="3"/>
                <c:pt idx="0">
                  <c:v>290</c:v>
                </c:pt>
                <c:pt idx="1">
                  <c:v>375</c:v>
                </c:pt>
                <c:pt idx="2">
                  <c:v>470</c:v>
                </c:pt>
              </c:numCache>
            </c:numRef>
          </c:xVal>
          <c:yVal>
            <c:numRef>
              <c:f>Interp.!$D$22:$D$24</c:f>
              <c:numCache>
                <c:formatCode>General</c:formatCode>
                <c:ptCount val="3"/>
                <c:pt idx="0">
                  <c:v>900</c:v>
                </c:pt>
                <c:pt idx="1">
                  <c:v>1060</c:v>
                </c:pt>
                <c:pt idx="2">
                  <c:v>1175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53-40C6-B167-780AF126D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643232"/>
        <c:axId val="375643624"/>
      </c:scatterChart>
      <c:valAx>
        <c:axId val="375643232"/>
        <c:scaling>
          <c:orientation val="minMax"/>
          <c:max val="470"/>
          <c:min val="2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Bulk temperature [C]</a:t>
                </a:r>
              </a:p>
            </c:rich>
          </c:tx>
          <c:layout>
            <c:manualLayout>
              <c:xMode val="edge"/>
              <c:yMode val="edge"/>
              <c:x val="0.43389566030273613"/>
              <c:y val="0.9317030782584435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5643624"/>
        <c:crosses val="autoZero"/>
        <c:crossBetween val="midCat"/>
      </c:valAx>
      <c:valAx>
        <c:axId val="375643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Heat flux [kW/m2]</a:t>
                </a:r>
              </a:p>
            </c:rich>
          </c:tx>
          <c:layout>
            <c:manualLayout>
              <c:xMode val="edge"/>
              <c:yMode val="edge"/>
              <c:x val="1.0958904109589041E-2"/>
              <c:y val="0.3372299161461320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5643232"/>
        <c:crosses val="autoZero"/>
        <c:crossBetween val="midCat"/>
      </c:valAx>
    </c:plotArea>
    <c:legend>
      <c:legendPos val="t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Interp.!$B$12</c:f>
              <c:strCache>
                <c:ptCount val="1"/>
                <c:pt idx="0">
                  <c:v>Single pipe mass flow: 1.7 kg/s </c:v>
                </c:pt>
              </c:strCache>
            </c:strRef>
          </c:tx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2.7277978731240576E-3"/>
                  <c:y val="2.4103319914478571E-2"/>
                </c:manualLayout>
              </c:layout>
              <c:numFmt formatCode="General" sourceLinked="0"/>
            </c:trendlineLbl>
          </c:trendline>
          <c:xVal>
            <c:numRef>
              <c:f>Interp.!$C$14:$C$16</c:f>
              <c:numCache>
                <c:formatCode>General</c:formatCode>
                <c:ptCount val="3"/>
                <c:pt idx="0">
                  <c:v>470</c:v>
                </c:pt>
                <c:pt idx="1">
                  <c:v>525</c:v>
                </c:pt>
                <c:pt idx="2">
                  <c:v>565</c:v>
                </c:pt>
              </c:numCache>
            </c:numRef>
          </c:xVal>
          <c:yVal>
            <c:numRef>
              <c:f>Interp.!$D$14:$D$16</c:f>
              <c:numCache>
                <c:formatCode>General</c:formatCode>
                <c:ptCount val="3"/>
                <c:pt idx="0">
                  <c:v>490</c:v>
                </c:pt>
                <c:pt idx="1">
                  <c:v>450</c:v>
                </c:pt>
                <c:pt idx="2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A2-4377-B2AB-5F7E3A34CBA7}"/>
            </c:ext>
          </c:extLst>
        </c:ser>
        <c:ser>
          <c:idx val="1"/>
          <c:order val="1"/>
          <c:tx>
            <c:strRef>
              <c:f>Interp.!$B$17</c:f>
              <c:strCache>
                <c:ptCount val="1"/>
                <c:pt idx="0">
                  <c:v>Single pipe mass flow: 5 kg/s</c:v>
                </c:pt>
              </c:strCache>
            </c:strRef>
          </c:tx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1.0763248390110763E-2"/>
                  <c:y val="1.8374573256582233E-2"/>
                </c:manualLayout>
              </c:layout>
              <c:numFmt formatCode="General" sourceLinked="0"/>
            </c:trendlineLbl>
          </c:trendline>
          <c:xVal>
            <c:numRef>
              <c:f>Interp.!$C$19:$C$21</c:f>
              <c:numCache>
                <c:formatCode>General</c:formatCode>
                <c:ptCount val="3"/>
                <c:pt idx="0">
                  <c:v>470</c:v>
                </c:pt>
                <c:pt idx="1">
                  <c:v>525</c:v>
                </c:pt>
                <c:pt idx="2">
                  <c:v>565</c:v>
                </c:pt>
              </c:numCache>
            </c:numRef>
          </c:xVal>
          <c:yVal>
            <c:numRef>
              <c:f>Interp.!$D$19:$D$21</c:f>
              <c:numCache>
                <c:formatCode>General</c:formatCode>
                <c:ptCount val="3"/>
                <c:pt idx="0">
                  <c:v>890</c:v>
                </c:pt>
                <c:pt idx="1">
                  <c:v>820</c:v>
                </c:pt>
                <c:pt idx="2">
                  <c:v>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A2-4377-B2AB-5F7E3A34CBA7}"/>
            </c:ext>
          </c:extLst>
        </c:ser>
        <c:ser>
          <c:idx val="2"/>
          <c:order val="2"/>
          <c:tx>
            <c:strRef>
              <c:f>Interp.!$B$22</c:f>
              <c:strCache>
                <c:ptCount val="1"/>
                <c:pt idx="0">
                  <c:v>Single pipe mass flow: 10 kg/s</c:v>
                </c:pt>
              </c:strCache>
            </c:strRef>
          </c:tx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7.0998732248572323E-3"/>
                  <c:y val="3.5662586195675666E-2"/>
                </c:manualLayout>
              </c:layout>
              <c:numFmt formatCode="General" sourceLinked="0"/>
            </c:trendlineLbl>
          </c:trendline>
          <c:xVal>
            <c:numRef>
              <c:f>Interp.!$C$24:$C$26</c:f>
              <c:numCache>
                <c:formatCode>General</c:formatCode>
                <c:ptCount val="3"/>
                <c:pt idx="0">
                  <c:v>470</c:v>
                </c:pt>
                <c:pt idx="1">
                  <c:v>525</c:v>
                </c:pt>
                <c:pt idx="2">
                  <c:v>565</c:v>
                </c:pt>
              </c:numCache>
            </c:numRef>
          </c:xVal>
          <c:yVal>
            <c:numRef>
              <c:f>Interp.!$D$24:$D$26</c:f>
              <c:numCache>
                <c:formatCode>General</c:formatCode>
                <c:ptCount val="3"/>
                <c:pt idx="0">
                  <c:v>1175</c:v>
                </c:pt>
                <c:pt idx="1">
                  <c:v>1080</c:v>
                </c:pt>
                <c:pt idx="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A2-4377-B2AB-5F7E3A34C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644800"/>
        <c:axId val="375645192"/>
      </c:scatterChart>
      <c:valAx>
        <c:axId val="375644800"/>
        <c:scaling>
          <c:orientation val="minMax"/>
          <c:max val="565"/>
          <c:min val="47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Bulk temperature [C]</a:t>
                </a:r>
              </a:p>
            </c:rich>
          </c:tx>
          <c:layout>
            <c:manualLayout>
              <c:xMode val="edge"/>
              <c:yMode val="edge"/>
              <c:x val="0.43389566030273613"/>
              <c:y val="0.9317030782584435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5645192"/>
        <c:crosses val="autoZero"/>
        <c:crossBetween val="midCat"/>
      </c:valAx>
      <c:valAx>
        <c:axId val="375645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Heat flux [kW/m2]</a:t>
                </a:r>
              </a:p>
            </c:rich>
          </c:tx>
          <c:layout>
            <c:manualLayout>
              <c:xMode val="edge"/>
              <c:yMode val="edge"/>
              <c:x val="1.0958904109589041E-2"/>
              <c:y val="0.3372299161461320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5644800"/>
        <c:crosses val="autoZero"/>
        <c:crossBetween val="midCat"/>
      </c:valAx>
    </c:plotArea>
    <c:legend>
      <c:legendPos val="t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Interp.!$B$12</c:f>
              <c:strCache>
                <c:ptCount val="1"/>
                <c:pt idx="0">
                  <c:v>Single pipe mass flow: 1.7 kg/s </c:v>
                </c:pt>
              </c:strCache>
            </c:strRef>
          </c:tx>
          <c:xVal>
            <c:numRef>
              <c:f>Interp.!$D$12:$D$16</c:f>
              <c:numCache>
                <c:formatCode>General</c:formatCode>
                <c:ptCount val="5"/>
                <c:pt idx="0">
                  <c:v>325</c:v>
                </c:pt>
                <c:pt idx="1">
                  <c:v>400</c:v>
                </c:pt>
                <c:pt idx="2">
                  <c:v>490</c:v>
                </c:pt>
                <c:pt idx="3">
                  <c:v>450</c:v>
                </c:pt>
                <c:pt idx="4">
                  <c:v>400</c:v>
                </c:pt>
              </c:numCache>
            </c:numRef>
          </c:xVal>
          <c:yVal>
            <c:numRef>
              <c:f>Interp.!$C$12:$C$16</c:f>
              <c:numCache>
                <c:formatCode>General</c:formatCode>
                <c:ptCount val="5"/>
                <c:pt idx="0">
                  <c:v>290</c:v>
                </c:pt>
                <c:pt idx="1">
                  <c:v>355</c:v>
                </c:pt>
                <c:pt idx="2">
                  <c:v>470</c:v>
                </c:pt>
                <c:pt idx="3">
                  <c:v>525</c:v>
                </c:pt>
                <c:pt idx="4">
                  <c:v>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0-4167-9ABF-4FB8BEED2890}"/>
            </c:ext>
          </c:extLst>
        </c:ser>
        <c:ser>
          <c:idx val="1"/>
          <c:order val="1"/>
          <c:tx>
            <c:strRef>
              <c:f>Interp.!$B$17</c:f>
              <c:strCache>
                <c:ptCount val="1"/>
                <c:pt idx="0">
                  <c:v>Single pipe mass flow: 5 kg/s</c:v>
                </c:pt>
              </c:strCache>
            </c:strRef>
          </c:tx>
          <c:xVal>
            <c:numRef>
              <c:f>Interp.!$D$17:$D$21</c:f>
              <c:numCache>
                <c:formatCode>General</c:formatCode>
                <c:ptCount val="5"/>
                <c:pt idx="0">
                  <c:v>655</c:v>
                </c:pt>
                <c:pt idx="1">
                  <c:v>800</c:v>
                </c:pt>
                <c:pt idx="2">
                  <c:v>890</c:v>
                </c:pt>
                <c:pt idx="3">
                  <c:v>820</c:v>
                </c:pt>
                <c:pt idx="4">
                  <c:v>750</c:v>
                </c:pt>
              </c:numCache>
            </c:numRef>
          </c:xVal>
          <c:yVal>
            <c:numRef>
              <c:f>Interp.!$C$17:$C$21</c:f>
              <c:numCache>
                <c:formatCode>General</c:formatCode>
                <c:ptCount val="5"/>
                <c:pt idx="0">
                  <c:v>290</c:v>
                </c:pt>
                <c:pt idx="1">
                  <c:v>385</c:v>
                </c:pt>
                <c:pt idx="2">
                  <c:v>470</c:v>
                </c:pt>
                <c:pt idx="3">
                  <c:v>525</c:v>
                </c:pt>
                <c:pt idx="4">
                  <c:v>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0-4167-9ABF-4FB8BEED2890}"/>
            </c:ext>
          </c:extLst>
        </c:ser>
        <c:ser>
          <c:idx val="2"/>
          <c:order val="2"/>
          <c:tx>
            <c:strRef>
              <c:f>Interp.!$B$22</c:f>
              <c:strCache>
                <c:ptCount val="1"/>
                <c:pt idx="0">
                  <c:v>Single pipe mass flow: 10 kg/s</c:v>
                </c:pt>
              </c:strCache>
            </c:strRef>
          </c:tx>
          <c:xVal>
            <c:numRef>
              <c:f>Interp.!$D$22:$D$26</c:f>
              <c:numCache>
                <c:formatCode>General</c:formatCode>
                <c:ptCount val="5"/>
                <c:pt idx="0">
                  <c:v>900</c:v>
                </c:pt>
                <c:pt idx="1">
                  <c:v>1060</c:v>
                </c:pt>
                <c:pt idx="2">
                  <c:v>1175</c:v>
                </c:pt>
                <c:pt idx="3">
                  <c:v>1080</c:v>
                </c:pt>
                <c:pt idx="4">
                  <c:v>1000</c:v>
                </c:pt>
              </c:numCache>
            </c:numRef>
          </c:xVal>
          <c:yVal>
            <c:numRef>
              <c:f>Interp.!$C$22:$C$26</c:f>
              <c:numCache>
                <c:formatCode>General</c:formatCode>
                <c:ptCount val="5"/>
                <c:pt idx="0">
                  <c:v>290</c:v>
                </c:pt>
                <c:pt idx="1">
                  <c:v>375</c:v>
                </c:pt>
                <c:pt idx="2">
                  <c:v>470</c:v>
                </c:pt>
                <c:pt idx="3">
                  <c:v>525</c:v>
                </c:pt>
                <c:pt idx="4">
                  <c:v>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10-4167-9ABF-4FB8BEED2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641664"/>
        <c:axId val="375641272"/>
      </c:scatterChart>
      <c:valAx>
        <c:axId val="375641664"/>
        <c:scaling>
          <c:orientation val="minMax"/>
          <c:max val="1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Heat flux [kW/m2]</a:t>
                </a:r>
              </a:p>
            </c:rich>
          </c:tx>
          <c:layout>
            <c:manualLayout>
              <c:xMode val="edge"/>
              <c:yMode val="edge"/>
              <c:x val="0.43253016219321994"/>
              <c:y val="0.950504927382607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5641272"/>
        <c:crosses val="autoZero"/>
        <c:crossBetween val="midCat"/>
      </c:valAx>
      <c:valAx>
        <c:axId val="375641272"/>
        <c:scaling>
          <c:orientation val="minMax"/>
          <c:max val="575"/>
          <c:min val="27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Bulk temperature [C]</a:t>
                </a:r>
              </a:p>
            </c:rich>
          </c:tx>
          <c:layout>
            <c:manualLayout>
              <c:xMode val="edge"/>
              <c:yMode val="edge"/>
              <c:x val="1.0958904109589041E-2"/>
              <c:y val="0.3372299161461320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5641664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IN617</c:v>
          </c:tx>
          <c:spPr>
            <a:ln w="2857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2.5480438227816687E-2"/>
                  <c:y val="-8.790007364187391E-3"/>
                </c:manualLayout>
              </c:layout>
              <c:numFmt formatCode="General" sourceLinked="0"/>
            </c:trendlineLbl>
          </c:trendline>
          <c:xVal>
            <c:numRef>
              <c:f>PipingK!$B$10:$B$16</c:f>
              <c:numCache>
                <c:formatCode>General</c:formatCode>
                <c:ptCount val="7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450</c:v>
                </c:pt>
                <c:pt idx="4">
                  <c:v>500</c:v>
                </c:pt>
                <c:pt idx="5">
                  <c:v>550</c:v>
                </c:pt>
                <c:pt idx="6">
                  <c:v>600</c:v>
                </c:pt>
              </c:numCache>
            </c:numRef>
          </c:xVal>
          <c:yVal>
            <c:numRef>
              <c:f>PipingK!$C$10:$C$16</c:f>
              <c:numCache>
                <c:formatCode>General</c:formatCode>
                <c:ptCount val="7"/>
                <c:pt idx="0">
                  <c:v>16.2</c:v>
                </c:pt>
                <c:pt idx="1">
                  <c:v>17.8</c:v>
                </c:pt>
                <c:pt idx="2">
                  <c:v>19.3</c:v>
                </c:pt>
                <c:pt idx="3">
                  <c:v>20.100000000000001</c:v>
                </c:pt>
                <c:pt idx="4">
                  <c:v>20.9</c:v>
                </c:pt>
                <c:pt idx="5">
                  <c:v>21.6</c:v>
                </c:pt>
                <c:pt idx="6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3-4ECF-98AF-B31365521104}"/>
            </c:ext>
          </c:extLst>
        </c:ser>
        <c:ser>
          <c:idx val="1"/>
          <c:order val="1"/>
          <c:tx>
            <c:v>IN625</c:v>
          </c:tx>
          <c:spPr>
            <a:ln w="2857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6.525958128456108E-2"/>
                  <c:y val="6.6505787495987456E-2"/>
                </c:manualLayout>
              </c:layout>
              <c:numFmt formatCode="General" sourceLinked="0"/>
            </c:trendlineLbl>
          </c:trendline>
          <c:xVal>
            <c:numRef>
              <c:f>PipingK!$E$21:$E$36</c:f>
              <c:numCache>
                <c:formatCode>General</c:formatCode>
                <c:ptCount val="16"/>
                <c:pt idx="0">
                  <c:v>280</c:v>
                </c:pt>
                <c:pt idx="1">
                  <c:v>300</c:v>
                </c:pt>
                <c:pt idx="2">
                  <c:v>320</c:v>
                </c:pt>
                <c:pt idx="3">
                  <c:v>340</c:v>
                </c:pt>
                <c:pt idx="4">
                  <c:v>360</c:v>
                </c:pt>
                <c:pt idx="5">
                  <c:v>380</c:v>
                </c:pt>
                <c:pt idx="6">
                  <c:v>400</c:v>
                </c:pt>
                <c:pt idx="7">
                  <c:v>420</c:v>
                </c:pt>
                <c:pt idx="8">
                  <c:v>440</c:v>
                </c:pt>
                <c:pt idx="9">
                  <c:v>460</c:v>
                </c:pt>
                <c:pt idx="10">
                  <c:v>480</c:v>
                </c:pt>
                <c:pt idx="11">
                  <c:v>500</c:v>
                </c:pt>
                <c:pt idx="12">
                  <c:v>520</c:v>
                </c:pt>
                <c:pt idx="13">
                  <c:v>540</c:v>
                </c:pt>
                <c:pt idx="14">
                  <c:v>560</c:v>
                </c:pt>
                <c:pt idx="15">
                  <c:v>580</c:v>
                </c:pt>
              </c:numCache>
            </c:numRef>
          </c:xVal>
          <c:yVal>
            <c:numRef>
              <c:f>PipingK!$F$21:$F$36</c:f>
              <c:numCache>
                <c:formatCode>General</c:formatCode>
                <c:ptCount val="16"/>
                <c:pt idx="0">
                  <c:v>13.576000000000001</c:v>
                </c:pt>
                <c:pt idx="1">
                  <c:v>13.87</c:v>
                </c:pt>
                <c:pt idx="2">
                  <c:v>14.166</c:v>
                </c:pt>
                <c:pt idx="3">
                  <c:v>14.462</c:v>
                </c:pt>
                <c:pt idx="4">
                  <c:v>14.757999999999999</c:v>
                </c:pt>
                <c:pt idx="5">
                  <c:v>15.054</c:v>
                </c:pt>
                <c:pt idx="6">
                  <c:v>15.35</c:v>
                </c:pt>
                <c:pt idx="7">
                  <c:v>15.648</c:v>
                </c:pt>
                <c:pt idx="8">
                  <c:v>15.946</c:v>
                </c:pt>
                <c:pt idx="9">
                  <c:v>16.244</c:v>
                </c:pt>
                <c:pt idx="10">
                  <c:v>16.542000000000002</c:v>
                </c:pt>
                <c:pt idx="11">
                  <c:v>16.84</c:v>
                </c:pt>
                <c:pt idx="12">
                  <c:v>17.135999999999999</c:v>
                </c:pt>
                <c:pt idx="13">
                  <c:v>17.431999999999999</c:v>
                </c:pt>
                <c:pt idx="14">
                  <c:v>17.731999999999999</c:v>
                </c:pt>
                <c:pt idx="15">
                  <c:v>18.036000000000001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63-4ECF-98AF-B31365521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640488"/>
        <c:axId val="375645976"/>
      </c:scatterChart>
      <c:valAx>
        <c:axId val="375640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5645976"/>
        <c:crosses val="autoZero"/>
        <c:crossBetween val="midCat"/>
      </c:valAx>
      <c:valAx>
        <c:axId val="375645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640488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MS average temperature</c:v>
          </c:tx>
          <c:xVal>
            <c:numRef>
              <c:f>NoRadHL!$I$11:$M$11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NoRadHL!$I$19:$M$19</c:f>
              <c:numCache>
                <c:formatCode>0.0</c:formatCode>
                <c:ptCount val="5"/>
                <c:pt idx="0">
                  <c:v>288.60069222571775</c:v>
                </c:pt>
                <c:pt idx="1">
                  <c:v>285.81926187680153</c:v>
                </c:pt>
                <c:pt idx="2">
                  <c:v>283.07178813175096</c:v>
                </c:pt>
                <c:pt idx="3">
                  <c:v>280.35787311388179</c:v>
                </c:pt>
                <c:pt idx="4">
                  <c:v>277.67711791313377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61-474F-8284-FAD0123B260B}"/>
            </c:ext>
          </c:extLst>
        </c:ser>
        <c:ser>
          <c:idx val="1"/>
          <c:order val="1"/>
          <c:tx>
            <c:v>Skin temperature</c:v>
          </c:tx>
          <c:xVal>
            <c:numRef>
              <c:f>NoRadHL!$I$11:$M$11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NoRadHL!$I$51:$M$51</c:f>
              <c:numCache>
                <c:formatCode>0</c:formatCode>
                <c:ptCount val="5"/>
                <c:pt idx="0">
                  <c:v>288.60069222571775</c:v>
                </c:pt>
                <c:pt idx="1">
                  <c:v>285.81926187680153</c:v>
                </c:pt>
                <c:pt idx="2">
                  <c:v>283.07178813175096</c:v>
                </c:pt>
                <c:pt idx="3">
                  <c:v>280.35787311388179</c:v>
                </c:pt>
                <c:pt idx="4">
                  <c:v>277.67711791313377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61-474F-8284-FAD0123B2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644408"/>
        <c:axId val="375646760"/>
      </c:scatterChart>
      <c:valAx>
        <c:axId val="375644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Flux on panel [kW/m2]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375646760"/>
        <c:crosses val="autoZero"/>
        <c:crossBetween val="midCat"/>
      </c:valAx>
      <c:valAx>
        <c:axId val="37564676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75644408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10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CE4B3E.34B907C0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54</xdr:row>
      <xdr:rowOff>0</xdr:rowOff>
    </xdr:from>
    <xdr:to>
      <xdr:col>8</xdr:col>
      <xdr:colOff>342900</xdr:colOff>
      <xdr:row>57</xdr:row>
      <xdr:rowOff>142875</xdr:rowOff>
    </xdr:to>
    <xdr:cxnSp macro="">
      <xdr:nvCxnSpPr>
        <xdr:cNvPr id="2" name="Straight Arrow Connector 1"/>
        <xdr:cNvCxnSpPr/>
      </xdr:nvCxnSpPr>
      <xdr:spPr>
        <a:xfrm flipV="1">
          <a:off x="8153400" y="10144125"/>
          <a:ext cx="0" cy="695325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342900</xdr:colOff>
      <xdr:row>0</xdr:row>
      <xdr:rowOff>38100</xdr:rowOff>
    </xdr:from>
    <xdr:to>
      <xdr:col>15</xdr:col>
      <xdr:colOff>342900</xdr:colOff>
      <xdr:row>4</xdr:row>
      <xdr:rowOff>0</xdr:rowOff>
    </xdr:to>
    <xdr:cxnSp macro="">
      <xdr:nvCxnSpPr>
        <xdr:cNvPr id="3" name="Straight Arrow Connector 2"/>
        <xdr:cNvCxnSpPr/>
      </xdr:nvCxnSpPr>
      <xdr:spPr>
        <a:xfrm flipV="1">
          <a:off x="11163300" y="38100"/>
          <a:ext cx="0" cy="695325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310198</xdr:colOff>
      <xdr:row>4</xdr:row>
      <xdr:rowOff>42108</xdr:rowOff>
    </xdr:from>
    <xdr:to>
      <xdr:col>27</xdr:col>
      <xdr:colOff>98136</xdr:colOff>
      <xdr:row>25</xdr:row>
      <xdr:rowOff>183284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59607</xdr:colOff>
      <xdr:row>14</xdr:row>
      <xdr:rowOff>167762</xdr:rowOff>
    </xdr:from>
    <xdr:to>
      <xdr:col>46</xdr:col>
      <xdr:colOff>401892</xdr:colOff>
      <xdr:row>29</xdr:row>
      <xdr:rowOff>145640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89828</xdr:colOff>
      <xdr:row>34</xdr:row>
      <xdr:rowOff>8314</xdr:rowOff>
    </xdr:from>
    <xdr:to>
      <xdr:col>48</xdr:col>
      <xdr:colOff>427631</xdr:colOff>
      <xdr:row>48</xdr:row>
      <xdr:rowOff>78370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414798</xdr:colOff>
      <xdr:row>44</xdr:row>
      <xdr:rowOff>46089</xdr:rowOff>
    </xdr:from>
    <xdr:to>
      <xdr:col>45</xdr:col>
      <xdr:colOff>147483</xdr:colOff>
      <xdr:row>58</xdr:row>
      <xdr:rowOff>131507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0</xdr:row>
      <xdr:rowOff>104774</xdr:rowOff>
    </xdr:from>
    <xdr:to>
      <xdr:col>23</xdr:col>
      <xdr:colOff>19050</xdr:colOff>
      <xdr:row>22</xdr:row>
      <xdr:rowOff>38100</xdr:rowOff>
    </xdr:to>
    <xdr:grpSp>
      <xdr:nvGrpSpPr>
        <xdr:cNvPr id="7" name="Group 6"/>
        <xdr:cNvGrpSpPr/>
      </xdr:nvGrpSpPr>
      <xdr:grpSpPr>
        <a:xfrm>
          <a:off x="3048000" y="104774"/>
          <a:ext cx="12906375" cy="4276726"/>
          <a:chOff x="7705725" y="9029699"/>
          <a:chExt cx="12906375" cy="3733801"/>
        </a:xfrm>
      </xdr:grpSpPr>
      <xdr:graphicFrame macro="">
        <xdr:nvGraphicFramePr>
          <xdr:cNvPr id="4" name="Chart 3"/>
          <xdr:cNvGraphicFramePr/>
        </xdr:nvGraphicFramePr>
        <xdr:xfrm>
          <a:off x="7705725" y="9029699"/>
          <a:ext cx="6448425" cy="37338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6" name="Chart 5"/>
          <xdr:cNvGraphicFramePr/>
        </xdr:nvGraphicFramePr>
        <xdr:xfrm>
          <a:off x="14163675" y="9029699"/>
          <a:ext cx="6448425" cy="37338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919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0.07876</cdr:x>
      <cdr:y>0.08363</cdr:y>
    </cdr:from>
    <cdr:to>
      <cdr:x>0.28514</cdr:x>
      <cdr:y>0.24885</cdr:y>
    </cdr:to>
    <cdr:pic>
      <cdr:nvPicPr>
        <cdr:cNvPr id="2" name="Picture 1" descr="Description: cid:image002.png@01CE4AFF.2F7F4970"/>
        <cdr:cNvPicPr/>
      </cdr:nvPicPr>
      <cdr:blipFill>
        <a:blip xmlns:a="http://schemas.openxmlformats.org/drawingml/2006/main"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32537" y="508403"/>
          <a:ext cx="1919516" cy="1004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371474</xdr:colOff>
      <xdr:row>3</xdr:row>
      <xdr:rowOff>76200</xdr:rowOff>
    </xdr:from>
    <xdr:to>
      <xdr:col>18</xdr:col>
      <xdr:colOff>0</xdr:colOff>
      <xdr:row>30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57</xdr:row>
      <xdr:rowOff>13611</xdr:rowOff>
    </xdr:from>
    <xdr:to>
      <xdr:col>8</xdr:col>
      <xdr:colOff>342900</xdr:colOff>
      <xdr:row>60</xdr:row>
      <xdr:rowOff>156485</xdr:rowOff>
    </xdr:to>
    <xdr:cxnSp macro="">
      <xdr:nvCxnSpPr>
        <xdr:cNvPr id="2" name="Straight Arrow Connector 1"/>
        <xdr:cNvCxnSpPr/>
      </xdr:nvCxnSpPr>
      <xdr:spPr>
        <a:xfrm flipV="1">
          <a:off x="8139793" y="10395861"/>
          <a:ext cx="0" cy="673553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342900</xdr:colOff>
      <xdr:row>0</xdr:row>
      <xdr:rowOff>38100</xdr:rowOff>
    </xdr:from>
    <xdr:to>
      <xdr:col>12</xdr:col>
      <xdr:colOff>342900</xdr:colOff>
      <xdr:row>4</xdr:row>
      <xdr:rowOff>0</xdr:rowOff>
    </xdr:to>
    <xdr:cxnSp macro="">
      <xdr:nvCxnSpPr>
        <xdr:cNvPr id="3" name="Straight Arrow Connector 2"/>
        <xdr:cNvCxnSpPr/>
      </xdr:nvCxnSpPr>
      <xdr:spPr>
        <a:xfrm flipV="1">
          <a:off x="11163300" y="38100"/>
          <a:ext cx="0" cy="695325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249585</xdr:colOff>
      <xdr:row>2</xdr:row>
      <xdr:rowOff>134471</xdr:rowOff>
    </xdr:from>
    <xdr:to>
      <xdr:col>22</xdr:col>
      <xdr:colOff>627530</xdr:colOff>
      <xdr:row>18</xdr:row>
      <xdr:rowOff>80479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ganany/Documents/MSR%20R&amp;D/MSR/BSII/MSCR%20pilot%20to%20BSII%20-%202012-03-2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DCpilot - FluxFunction"/>
      <sheetName val="SEDCpilot - FluxMap"/>
      <sheetName val="SEDCpilot - Recirc. - HighT"/>
      <sheetName val="SEDCpilot - Any T"/>
      <sheetName val="HTC"/>
      <sheetName val="K"/>
      <sheetName val="Power and size sensitivity"/>
      <sheetName val="Properties"/>
      <sheetName val="Flux allowed"/>
    </sheetNames>
    <sheetDataSet>
      <sheetData sheetId="0" refreshError="1">
        <row r="3">
          <cell r="D3">
            <v>0.7103825136612022</v>
          </cell>
        </row>
        <row r="4">
          <cell r="D4">
            <v>2.9</v>
          </cell>
          <cell r="L4">
            <v>2.6</v>
          </cell>
        </row>
        <row r="5">
          <cell r="D5">
            <v>4.0823076923076922</v>
          </cell>
          <cell r="L5">
            <v>3.66</v>
          </cell>
        </row>
        <row r="6">
          <cell r="D6">
            <v>11.838692307692307</v>
          </cell>
        </row>
        <row r="9">
          <cell r="D9">
            <v>1000</v>
          </cell>
        </row>
        <row r="10">
          <cell r="D10">
            <v>0.7103825136612022</v>
          </cell>
        </row>
        <row r="11">
          <cell r="D11">
            <v>0.43</v>
          </cell>
        </row>
        <row r="12">
          <cell r="D12">
            <v>0.2169966257577115</v>
          </cell>
          <cell r="K12">
            <v>2100</v>
          </cell>
        </row>
        <row r="14">
          <cell r="D14">
            <v>-1.45</v>
          </cell>
          <cell r="H14">
            <v>1.45</v>
          </cell>
        </row>
        <row r="15">
          <cell r="D15">
            <v>-2.0411538461538461</v>
          </cell>
          <cell r="H15">
            <v>2.0411538461538461</v>
          </cell>
        </row>
        <row r="16">
          <cell r="F16">
            <v>730.62639490417462</v>
          </cell>
        </row>
        <row r="18">
          <cell r="D18">
            <v>7094.5280153168533</v>
          </cell>
        </row>
        <row r="19">
          <cell r="D19">
            <v>599.26618843764641</v>
          </cell>
        </row>
        <row r="24">
          <cell r="C24">
            <v>-1.45</v>
          </cell>
          <cell r="D24">
            <v>2.0411538461538461</v>
          </cell>
          <cell r="H24">
            <v>1.45</v>
          </cell>
          <cell r="I24">
            <v>2.0411538461538461</v>
          </cell>
        </row>
        <row r="34">
          <cell r="C34">
            <v>-1.45</v>
          </cell>
          <cell r="D34">
            <v>-2.0411538461538461</v>
          </cell>
          <cell r="H34">
            <v>1.45</v>
          </cell>
          <cell r="I34">
            <v>-2.0411538461538461</v>
          </cell>
        </row>
      </sheetData>
      <sheetData sheetId="1" refreshError="1"/>
      <sheetData sheetId="2" refreshError="1">
        <row r="2">
          <cell r="P2">
            <v>2090</v>
          </cell>
          <cell r="Q2">
            <v>0.63600000000000001</v>
          </cell>
        </row>
        <row r="4">
          <cell r="P4">
            <v>1443</v>
          </cell>
          <cell r="Q4">
            <v>0.17199999999999999</v>
          </cell>
        </row>
        <row r="15">
          <cell r="N15">
            <v>6172.2393733256622</v>
          </cell>
        </row>
        <row r="16">
          <cell r="N16">
            <v>73.087716344046754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V86"/>
  <sheetViews>
    <sheetView tabSelected="1" topLeftCell="A13" zoomScale="85" zoomScaleNormal="85" workbookViewId="0">
      <selection activeCell="D17" sqref="D17:D28"/>
    </sheetView>
  </sheetViews>
  <sheetFormatPr defaultRowHeight="15"/>
  <cols>
    <col min="1" max="1" width="3.28515625" customWidth="1"/>
    <col min="2" max="2" width="27.5703125" bestFit="1" customWidth="1"/>
    <col min="3" max="4" width="9" customWidth="1"/>
    <col min="5" max="5" width="12" bestFit="1" customWidth="1"/>
    <col min="7" max="7" width="20.42578125" bestFit="1" customWidth="1"/>
    <col min="9" max="12" width="9.85546875" bestFit="1" customWidth="1"/>
    <col min="13" max="15" width="9.85546875" customWidth="1"/>
    <col min="16" max="16" width="9.85546875" bestFit="1" customWidth="1"/>
    <col min="17" max="17" width="10" bestFit="1" customWidth="1"/>
    <col min="18" max="18" width="10.140625" customWidth="1"/>
    <col min="28" max="33" width="9.140625" customWidth="1"/>
  </cols>
  <sheetData>
    <row r="1" spans="2:48">
      <c r="AK1" t="s">
        <v>13</v>
      </c>
      <c r="AR1" t="s">
        <v>13</v>
      </c>
    </row>
    <row r="2" spans="2:48" ht="15.75" thickBot="1">
      <c r="B2" s="128" t="s">
        <v>184</v>
      </c>
      <c r="AK2">
        <f>AK3*$D$17*PI()*AK3</f>
        <v>276.26582819712308</v>
      </c>
      <c r="AL2">
        <f t="shared" ref="AL2:AN2" si="0">AL3*$D$17*PI()*AL3</f>
        <v>397.82279260385718</v>
      </c>
      <c r="AM2">
        <f t="shared" si="0"/>
        <v>541.48102326636115</v>
      </c>
      <c r="AN2">
        <f t="shared" si="0"/>
        <v>707.24052018463499</v>
      </c>
      <c r="AO2">
        <f>AO3*$D$17*PI()*AO3</f>
        <v>1105.0633127884923</v>
      </c>
      <c r="AQ2" s="148"/>
      <c r="AR2" s="148">
        <f>AR3*$D$17*PI()*AR3</f>
        <v>276.26582819712308</v>
      </c>
      <c r="AS2" s="148">
        <f t="shared" ref="AS2" si="1">AS3*$D$17*PI()*AS3</f>
        <v>397.82279260385718</v>
      </c>
      <c r="AT2" s="148">
        <f t="shared" ref="AT2" si="2">AT3*$D$17*PI()*AT3</f>
        <v>541.48102326636115</v>
      </c>
      <c r="AU2" s="148">
        <f t="shared" ref="AU2" si="3">AU3*$D$17*PI()*AU3</f>
        <v>707.24052018463499</v>
      </c>
      <c r="AV2" s="148">
        <f t="shared" ref="AV2" si="4">AV3*$D$17*PI()*AV3</f>
        <v>1105.0633127884923</v>
      </c>
    </row>
    <row r="3" spans="2:48">
      <c r="B3" t="s">
        <v>191</v>
      </c>
      <c r="D3" s="136"/>
      <c r="G3" t="s">
        <v>197</v>
      </c>
      <c r="I3" s="1">
        <v>1</v>
      </c>
      <c r="J3" s="1">
        <v>1</v>
      </c>
      <c r="K3" s="1">
        <v>1</v>
      </c>
      <c r="L3" s="1">
        <v>1</v>
      </c>
      <c r="M3" s="1">
        <v>1</v>
      </c>
      <c r="N3" s="1">
        <v>1</v>
      </c>
      <c r="O3" s="1">
        <v>1</v>
      </c>
      <c r="P3" s="1">
        <v>1</v>
      </c>
      <c r="AI3" t="s">
        <v>192</v>
      </c>
      <c r="AJ3" s="138">
        <f>D79</f>
        <v>38.167761471678091</v>
      </c>
      <c r="AK3" s="100">
        <v>10</v>
      </c>
      <c r="AL3" s="100">
        <v>12</v>
      </c>
      <c r="AM3" s="100">
        <v>14</v>
      </c>
      <c r="AN3" s="100">
        <v>16</v>
      </c>
      <c r="AO3" s="100">
        <v>20</v>
      </c>
      <c r="AQ3" s="138">
        <f>D75</f>
        <v>6.07639527671423</v>
      </c>
      <c r="AR3" s="100">
        <v>10</v>
      </c>
      <c r="AS3" s="100">
        <v>12</v>
      </c>
      <c r="AT3" s="100">
        <v>14</v>
      </c>
      <c r="AU3" s="100">
        <v>16</v>
      </c>
      <c r="AV3" s="100">
        <v>20</v>
      </c>
    </row>
    <row r="4" spans="2:48" ht="15.75" thickBot="1">
      <c r="B4" t="s">
        <v>195</v>
      </c>
      <c r="G4" t="s">
        <v>193</v>
      </c>
      <c r="I4">
        <f t="shared" ref="I4:P4" si="5">I12/(SUM($I$12:$P$12))</f>
        <v>0.15151515151515152</v>
      </c>
      <c r="J4">
        <f t="shared" si="5"/>
        <v>0.14393939393939395</v>
      </c>
      <c r="K4">
        <f t="shared" si="5"/>
        <v>0.13636363636363635</v>
      </c>
      <c r="L4">
        <f t="shared" si="5"/>
        <v>0.12878787878787878</v>
      </c>
      <c r="M4">
        <f t="shared" si="5"/>
        <v>0.12121212121212122</v>
      </c>
      <c r="N4">
        <f t="shared" si="5"/>
        <v>0.11363636363636363</v>
      </c>
      <c r="O4">
        <f t="shared" si="5"/>
        <v>0.10606060606060606</v>
      </c>
      <c r="P4">
        <f t="shared" si="5"/>
        <v>9.8484848484848481E-2</v>
      </c>
      <c r="AJ4" s="149">
        <v>801</v>
      </c>
      <c r="AK4" s="114">
        <f t="dataTable" ref="AK4:AO10" dt2D="1" dtr="1" r1="D18" r2="D9"/>
        <v>32.424478645111037</v>
      </c>
      <c r="AL4" s="114">
        <v>33.764655429091022</v>
      </c>
      <c r="AM4" s="114">
        <v>35.525312933992772</v>
      </c>
      <c r="AN4" s="114">
        <v>37.529544533439697</v>
      </c>
      <c r="AO4" s="90">
        <v>41.946909729809434</v>
      </c>
      <c r="AQ4" s="149">
        <v>801</v>
      </c>
      <c r="AR4" s="114">
        <f t="dataTable" ref="AR4:AV10" dt2D="1" dtr="1" r1="D18" r2="D9" ca="1"/>
        <v>7.9032666416219026</v>
      </c>
      <c r="AS4" s="114">
        <v>8.2441907142858391</v>
      </c>
      <c r="AT4" s="114">
        <v>8.5851147869497755</v>
      </c>
      <c r="AU4" s="114">
        <v>8.9260388596137137</v>
      </c>
      <c r="AV4" s="90">
        <v>9.6078870049415865</v>
      </c>
    </row>
    <row r="5" spans="2:48">
      <c r="B5" s="17" t="s">
        <v>3</v>
      </c>
      <c r="C5" s="18" t="s">
        <v>0</v>
      </c>
      <c r="D5" s="32">
        <v>295</v>
      </c>
      <c r="E5" s="9"/>
      <c r="G5" s="35" t="s">
        <v>186</v>
      </c>
      <c r="H5" s="123" t="s">
        <v>35</v>
      </c>
      <c r="I5" s="129" t="s">
        <v>170</v>
      </c>
      <c r="J5" s="129" t="s">
        <v>170</v>
      </c>
      <c r="K5" s="129" t="s">
        <v>182</v>
      </c>
      <c r="L5" s="129" t="s">
        <v>182</v>
      </c>
      <c r="M5" s="129" t="s">
        <v>182</v>
      </c>
      <c r="N5" s="129" t="s">
        <v>182</v>
      </c>
      <c r="O5" s="129" t="s">
        <v>182</v>
      </c>
      <c r="P5" s="129" t="s">
        <v>182</v>
      </c>
      <c r="AJ5" s="149">
        <v>700</v>
      </c>
      <c r="AK5" s="114">
        <v>30.231345006484052</v>
      </c>
      <c r="AL5" s="114">
        <v>31.807707255430746</v>
      </c>
      <c r="AM5" s="114">
        <v>33.723772213884558</v>
      </c>
      <c r="AN5" s="114">
        <v>35.83756357219346</v>
      </c>
      <c r="AO5" s="90">
        <v>40.398591284825329</v>
      </c>
      <c r="AQ5" s="149">
        <v>700</v>
      </c>
      <c r="AR5" s="114">
        <v>6.5704577069372325</v>
      </c>
      <c r="AS5" s="114">
        <v>6.8011404106688609</v>
      </c>
      <c r="AT5" s="114">
        <v>7.0318231144004884</v>
      </c>
      <c r="AU5" s="114">
        <v>7.2625058181321167</v>
      </c>
      <c r="AV5" s="90">
        <v>7.7238712255953725</v>
      </c>
    </row>
    <row r="6" spans="2:48">
      <c r="B6" s="20" t="s">
        <v>4</v>
      </c>
      <c r="C6" s="21" t="s">
        <v>0</v>
      </c>
      <c r="D6" s="33">
        <v>565</v>
      </c>
      <c r="E6" s="10"/>
      <c r="G6" s="35" t="s">
        <v>32</v>
      </c>
      <c r="H6" s="123" t="s">
        <v>15</v>
      </c>
      <c r="I6" s="6">
        <f t="shared" ref="I6:P6" si="6">$D$28*I3</f>
        <v>64</v>
      </c>
      <c r="J6" s="6">
        <f t="shared" si="6"/>
        <v>64</v>
      </c>
      <c r="K6" s="6">
        <f t="shared" si="6"/>
        <v>64</v>
      </c>
      <c r="L6" s="6">
        <f t="shared" si="6"/>
        <v>64</v>
      </c>
      <c r="M6" s="6">
        <f t="shared" si="6"/>
        <v>64</v>
      </c>
      <c r="N6" s="6">
        <f t="shared" si="6"/>
        <v>64</v>
      </c>
      <c r="O6" s="6">
        <f t="shared" si="6"/>
        <v>64</v>
      </c>
      <c r="P6" s="6">
        <f t="shared" si="6"/>
        <v>64</v>
      </c>
      <c r="AJ6" s="149">
        <v>600</v>
      </c>
      <c r="AK6" s="114">
        <v>28.148447314968543</v>
      </c>
      <c r="AL6" s="114">
        <v>29.932770010730586</v>
      </c>
      <c r="AM6" s="114">
        <v>31.98641403173395</v>
      </c>
      <c r="AN6" s="114">
        <v>34.197606776627154</v>
      </c>
      <c r="AO6" s="90">
        <v>38.88694179400818</v>
      </c>
      <c r="AQ6" s="149">
        <v>600</v>
      </c>
      <c r="AR6" s="114">
        <v>5.3819511162661033</v>
      </c>
      <c r="AS6" s="114">
        <v>5.5297051929571932</v>
      </c>
      <c r="AT6" s="114">
        <v>5.6774592696482848</v>
      </c>
      <c r="AU6" s="114">
        <v>5.8252133463393747</v>
      </c>
      <c r="AV6" s="90">
        <v>6.1207214997215562</v>
      </c>
    </row>
    <row r="7" spans="2:48">
      <c r="B7" s="23" t="s">
        <v>5</v>
      </c>
      <c r="C7" s="21" t="s">
        <v>0</v>
      </c>
      <c r="D7" s="21">
        <f>Th-Tc</f>
        <v>270</v>
      </c>
      <c r="E7" s="10"/>
      <c r="G7" s="35" t="s">
        <v>17</v>
      </c>
      <c r="H7" s="123" t="s">
        <v>12</v>
      </c>
      <c r="I7" s="146">
        <f>I6*$D$30/1000*I3</f>
        <v>3.2511999999999999</v>
      </c>
      <c r="J7" s="146">
        <f t="shared" ref="J7:P7" si="7">J6*$D$30/1000*J3</f>
        <v>3.2511999999999999</v>
      </c>
      <c r="K7" s="146">
        <f t="shared" si="7"/>
        <v>3.2511999999999999</v>
      </c>
      <c r="L7" s="146">
        <f t="shared" si="7"/>
        <v>3.2511999999999999</v>
      </c>
      <c r="M7" s="146">
        <f t="shared" si="7"/>
        <v>3.2511999999999999</v>
      </c>
      <c r="N7" s="146">
        <f t="shared" si="7"/>
        <v>3.2511999999999999</v>
      </c>
      <c r="O7" s="146">
        <f t="shared" si="7"/>
        <v>3.2511999999999999</v>
      </c>
      <c r="P7" s="146">
        <f t="shared" si="7"/>
        <v>3.2511999999999999</v>
      </c>
      <c r="AJ7" s="149">
        <v>500</v>
      </c>
      <c r="AK7" s="114">
        <v>26.14368966825041</v>
      </c>
      <c r="AL7" s="114">
        <v>28.111631704503743</v>
      </c>
      <c r="AM7" s="114">
        <v>30.287449163952871</v>
      </c>
      <c r="AN7" s="114">
        <v>32.585521514420236</v>
      </c>
      <c r="AO7" s="90">
        <v>37.389854955671041</v>
      </c>
      <c r="AQ7" s="149">
        <v>500</v>
      </c>
      <c r="AR7" s="114">
        <v>4.3062787717018018</v>
      </c>
      <c r="AS7" s="114">
        <v>4.3936710705737205</v>
      </c>
      <c r="AT7" s="114">
        <v>4.4810633694456392</v>
      </c>
      <c r="AU7" s="114">
        <v>4.5684556683175579</v>
      </c>
      <c r="AV7" s="90">
        <v>4.7432402660613944</v>
      </c>
    </row>
    <row r="8" spans="2:48">
      <c r="B8" s="23" t="s">
        <v>188</v>
      </c>
      <c r="C8" s="21" t="s">
        <v>1</v>
      </c>
      <c r="D8" s="131">
        <v>600</v>
      </c>
      <c r="E8" s="10"/>
      <c r="G8" s="35" t="s">
        <v>21</v>
      </c>
      <c r="H8" s="123" t="s">
        <v>12</v>
      </c>
      <c r="I8" s="3">
        <f>$D$18</f>
        <v>19.399999999999999</v>
      </c>
      <c r="J8" s="3">
        <f t="shared" ref="J8:P8" si="8">$D$18</f>
        <v>19.399999999999999</v>
      </c>
      <c r="K8" s="3">
        <f t="shared" si="8"/>
        <v>19.399999999999999</v>
      </c>
      <c r="L8" s="3">
        <f t="shared" si="8"/>
        <v>19.399999999999999</v>
      </c>
      <c r="M8" s="3">
        <f t="shared" si="8"/>
        <v>19.399999999999999</v>
      </c>
      <c r="N8" s="3">
        <f t="shared" si="8"/>
        <v>19.399999999999999</v>
      </c>
      <c r="O8" s="3">
        <f t="shared" si="8"/>
        <v>19.399999999999999</v>
      </c>
      <c r="P8" s="3">
        <f t="shared" si="8"/>
        <v>19.399999999999999</v>
      </c>
      <c r="AJ8" s="149">
        <v>300</v>
      </c>
      <c r="AK8" s="114">
        <v>22.3058855338599</v>
      </c>
      <c r="AL8" s="114">
        <v>24.573819686567514</v>
      </c>
      <c r="AM8" s="114">
        <v>26.951090693283863</v>
      </c>
      <c r="AN8" s="114">
        <v>29.393442293390404</v>
      </c>
      <c r="AO8" s="90">
        <v>34.390219581869616</v>
      </c>
      <c r="AQ8" s="149">
        <v>300</v>
      </c>
      <c r="AR8" s="114">
        <v>2.4229610164513802</v>
      </c>
      <c r="AS8" s="114">
        <v>2.4432351464605913</v>
      </c>
      <c r="AT8" s="114">
        <v>2.4635092764698023</v>
      </c>
      <c r="AU8" s="114">
        <v>2.4837834064790134</v>
      </c>
      <c r="AV8" s="90">
        <v>2.5243316664974356</v>
      </c>
    </row>
    <row r="9" spans="2:48">
      <c r="B9" s="23" t="s">
        <v>6</v>
      </c>
      <c r="C9" s="21" t="s">
        <v>1</v>
      </c>
      <c r="D9" s="137">
        <v>600</v>
      </c>
      <c r="E9" s="135">
        <f>R13*2</f>
        <v>600.00000000000011</v>
      </c>
      <c r="G9" s="35" t="s">
        <v>22</v>
      </c>
      <c r="H9" s="123" t="s">
        <v>13</v>
      </c>
      <c r="I9" s="3">
        <f>I7*I8</f>
        <v>63.07327999999999</v>
      </c>
      <c r="J9" s="3">
        <f t="shared" ref="J9:P9" si="9">J7*J8</f>
        <v>63.07327999999999</v>
      </c>
      <c r="K9" s="3">
        <f t="shared" si="9"/>
        <v>63.07327999999999</v>
      </c>
      <c r="L9" s="3">
        <f>L7*L8</f>
        <v>63.07327999999999</v>
      </c>
      <c r="M9" s="3">
        <f t="shared" ref="M9:O9" si="10">M7*M8</f>
        <v>63.07327999999999</v>
      </c>
      <c r="N9" s="3">
        <f t="shared" si="10"/>
        <v>63.07327999999999</v>
      </c>
      <c r="O9" s="3">
        <f t="shared" si="10"/>
        <v>63.07327999999999</v>
      </c>
      <c r="P9" s="3">
        <f t="shared" si="9"/>
        <v>63.07327999999999</v>
      </c>
      <c r="Q9" t="s">
        <v>23</v>
      </c>
      <c r="AJ9" s="149">
        <v>180</v>
      </c>
      <c r="AK9">
        <v>20.021955084278716</v>
      </c>
      <c r="AL9">
        <v>22.431362502659489</v>
      </c>
      <c r="AM9">
        <v>24.904756382140917</v>
      </c>
      <c r="AN9">
        <v>27.416568374826586</v>
      </c>
      <c r="AO9">
        <v>32.506882442192079</v>
      </c>
      <c r="AQ9" s="149">
        <v>180</v>
      </c>
      <c r="AR9" s="148">
        <v>1.4168215801086563</v>
      </c>
      <c r="AS9" s="148">
        <v>1.4215950521617486</v>
      </c>
      <c r="AT9" s="148">
        <v>1.4263685242148409</v>
      </c>
      <c r="AU9" s="148">
        <v>1.431141996267933</v>
      </c>
      <c r="AV9" s="148">
        <v>1.4406889403741177</v>
      </c>
    </row>
    <row r="10" spans="2:48">
      <c r="B10" s="23" t="s">
        <v>139</v>
      </c>
      <c r="C10" s="43" t="s">
        <v>49</v>
      </c>
      <c r="D10" s="134">
        <f>D9/D8</f>
        <v>1</v>
      </c>
      <c r="G10" s="35" t="s">
        <v>185</v>
      </c>
      <c r="H10" s="123" t="s">
        <v>16</v>
      </c>
      <c r="I10" s="6">
        <v>1000</v>
      </c>
      <c r="J10" s="6">
        <v>950</v>
      </c>
      <c r="K10" s="6">
        <v>900</v>
      </c>
      <c r="L10" s="6">
        <v>850</v>
      </c>
      <c r="M10" s="6">
        <v>800</v>
      </c>
      <c r="N10" s="6">
        <v>750</v>
      </c>
      <c r="O10" s="6">
        <v>700</v>
      </c>
      <c r="P10" s="6">
        <v>650</v>
      </c>
      <c r="AJ10" s="149">
        <v>90</v>
      </c>
      <c r="AK10">
        <v>18.171811680091153</v>
      </c>
      <c r="AL10">
        <v>20.672271361882654</v>
      </c>
      <c r="AM10">
        <v>23.208111096109896</v>
      </c>
      <c r="AN10">
        <v>25.765367939459701</v>
      </c>
      <c r="AO10">
        <v>30.917339281263267</v>
      </c>
      <c r="AQ10" s="149">
        <v>90</v>
      </c>
      <c r="AR10" s="148">
        <v>0.69990516697492178</v>
      </c>
      <c r="AS10" s="148">
        <v>0.7005907783855867</v>
      </c>
      <c r="AT10" s="148">
        <v>0.70127638979625151</v>
      </c>
      <c r="AU10" s="148">
        <v>0.70196200120691632</v>
      </c>
      <c r="AV10" s="148">
        <v>0.70333322402824605</v>
      </c>
    </row>
    <row r="11" spans="2:48">
      <c r="B11" s="23" t="s">
        <v>140</v>
      </c>
      <c r="C11" s="21" t="s">
        <v>1</v>
      </c>
      <c r="D11" s="43">
        <f>D9/2</f>
        <v>300</v>
      </c>
      <c r="E11" s="10"/>
      <c r="G11" s="35" t="s">
        <v>71</v>
      </c>
      <c r="H11" s="123" t="s">
        <v>35</v>
      </c>
      <c r="I11" s="40">
        <f t="shared" ref="I11:P11" si="11">I10/MAX($I10:$P10)</f>
        <v>1</v>
      </c>
      <c r="J11" s="40">
        <f t="shared" si="11"/>
        <v>0.95</v>
      </c>
      <c r="K11" s="40">
        <f t="shared" si="11"/>
        <v>0.9</v>
      </c>
      <c r="L11" s="40">
        <f t="shared" si="11"/>
        <v>0.85</v>
      </c>
      <c r="M11" s="40">
        <f t="shared" si="11"/>
        <v>0.8</v>
      </c>
      <c r="N11" s="40">
        <f t="shared" si="11"/>
        <v>0.75</v>
      </c>
      <c r="O11" s="40">
        <f t="shared" si="11"/>
        <v>0.7</v>
      </c>
      <c r="P11" s="40">
        <f t="shared" si="11"/>
        <v>0.65</v>
      </c>
      <c r="Q11" t="s">
        <v>23</v>
      </c>
      <c r="R11" s="133">
        <v>0.6</v>
      </c>
    </row>
    <row r="12" spans="2:48">
      <c r="B12" s="23" t="s">
        <v>7</v>
      </c>
      <c r="C12" s="21" t="s">
        <v>9</v>
      </c>
      <c r="D12" s="24">
        <f>(1443+0.172*Tc)/1000</f>
        <v>1.4937400000000001</v>
      </c>
      <c r="E12" s="69"/>
      <c r="G12" s="122" t="s">
        <v>187</v>
      </c>
      <c r="H12" s="123" t="s">
        <v>16</v>
      </c>
      <c r="I12" s="6">
        <f>I10*$R$11</f>
        <v>600</v>
      </c>
      <c r="J12" s="6">
        <f t="shared" ref="J12:P12" si="12">J10*$R$11</f>
        <v>570</v>
      </c>
      <c r="K12" s="6">
        <f t="shared" si="12"/>
        <v>540</v>
      </c>
      <c r="L12" s="6">
        <f t="shared" si="12"/>
        <v>510</v>
      </c>
      <c r="M12" s="6">
        <f t="shared" si="12"/>
        <v>480</v>
      </c>
      <c r="N12" s="6">
        <f t="shared" si="12"/>
        <v>450</v>
      </c>
      <c r="O12" s="6">
        <f t="shared" si="12"/>
        <v>420</v>
      </c>
      <c r="P12" s="6">
        <f t="shared" si="12"/>
        <v>390</v>
      </c>
      <c r="Q12" t="s">
        <v>145</v>
      </c>
      <c r="R12" s="39">
        <v>1</v>
      </c>
    </row>
    <row r="13" spans="2:48">
      <c r="B13" s="23" t="s">
        <v>8</v>
      </c>
      <c r="C13" s="21" t="s">
        <v>9</v>
      </c>
      <c r="D13" s="24">
        <f>(1443+0.172*Th)/1000</f>
        <v>1.5401800000000001</v>
      </c>
      <c r="E13" s="69"/>
      <c r="G13" s="122" t="s">
        <v>189</v>
      </c>
      <c r="H13" s="123" t="s">
        <v>16</v>
      </c>
      <c r="I13" s="6">
        <f>$D$9/2*I4*1000/I9</f>
        <v>720.66246522371216</v>
      </c>
      <c r="J13" s="6">
        <f t="shared" ref="J13:P13" si="13">$D$9/2*J4*1000/J9</f>
        <v>684.62934196252661</v>
      </c>
      <c r="K13" s="6">
        <f t="shared" si="13"/>
        <v>648.59621870134094</v>
      </c>
      <c r="L13" s="6">
        <f t="shared" si="13"/>
        <v>612.56309544015528</v>
      </c>
      <c r="M13" s="6">
        <f t="shared" si="13"/>
        <v>576.52997217896984</v>
      </c>
      <c r="N13" s="6">
        <f t="shared" si="13"/>
        <v>540.49684891778406</v>
      </c>
      <c r="O13" s="6">
        <f t="shared" si="13"/>
        <v>504.46372565659857</v>
      </c>
      <c r="P13" s="6">
        <f t="shared" si="13"/>
        <v>468.4306023954129</v>
      </c>
      <c r="Q13" t="s">
        <v>67</v>
      </c>
      <c r="R13" s="64">
        <f>SUM(I14:P14)</f>
        <v>300.00000000000006</v>
      </c>
    </row>
    <row r="14" spans="2:48">
      <c r="B14" s="23" t="s">
        <v>10</v>
      </c>
      <c r="C14" s="21" t="s">
        <v>9</v>
      </c>
      <c r="D14" s="24">
        <f>AVERAGE(D12:D13)</f>
        <v>1.5169600000000001</v>
      </c>
      <c r="E14" s="10"/>
      <c r="G14" s="35" t="s">
        <v>117</v>
      </c>
      <c r="H14" s="123" t="s">
        <v>1</v>
      </c>
      <c r="I14" s="3">
        <f>I13*I9/1000</f>
        <v>45.454545454545453</v>
      </c>
      <c r="J14" s="3">
        <f t="shared" ref="J14:P14" si="14">J13*J9/1000</f>
        <v>43.181818181818187</v>
      </c>
      <c r="K14" s="3">
        <f t="shared" si="14"/>
        <v>40.909090909090907</v>
      </c>
      <c r="L14" s="3">
        <f>L13*L9/1000</f>
        <v>38.636363636363633</v>
      </c>
      <c r="M14" s="3">
        <f t="shared" ref="M14:O14" si="15">M13*M9/1000</f>
        <v>36.363636363636367</v>
      </c>
      <c r="N14" s="3">
        <f t="shared" si="15"/>
        <v>34.090909090909086</v>
      </c>
      <c r="O14" s="3">
        <f t="shared" si="15"/>
        <v>31.81818181818182</v>
      </c>
      <c r="P14" s="3">
        <f t="shared" si="14"/>
        <v>29.545454545454543</v>
      </c>
      <c r="R14" s="42"/>
    </row>
    <row r="15" spans="2:48">
      <c r="B15" s="23" t="s">
        <v>11</v>
      </c>
      <c r="C15" s="21" t="s">
        <v>2</v>
      </c>
      <c r="D15" s="89">
        <f>D9*1000/(AvCp*DT)</f>
        <v>1464.9181403743157</v>
      </c>
      <c r="E15" s="10"/>
      <c r="G15" s="35" t="s">
        <v>33</v>
      </c>
      <c r="H15" s="123" t="s">
        <v>2</v>
      </c>
      <c r="I15" s="3">
        <f>Mtot/2</f>
        <v>732.45907018715786</v>
      </c>
      <c r="J15" s="3">
        <f>I15</f>
        <v>732.45907018715786</v>
      </c>
      <c r="K15" s="3">
        <f>J15</f>
        <v>732.45907018715786</v>
      </c>
      <c r="L15" s="3">
        <f>K15</f>
        <v>732.45907018715786</v>
      </c>
      <c r="M15" s="3">
        <f t="shared" ref="M15:O15" si="16">L15</f>
        <v>732.45907018715786</v>
      </c>
      <c r="N15" s="3">
        <f t="shared" si="16"/>
        <v>732.45907018715786</v>
      </c>
      <c r="O15" s="3">
        <f t="shared" si="16"/>
        <v>732.45907018715786</v>
      </c>
      <c r="P15" s="3">
        <f>O15</f>
        <v>732.45907018715786</v>
      </c>
      <c r="R15" s="84"/>
    </row>
    <row r="16" spans="2:48">
      <c r="G16" s="35" t="s">
        <v>18</v>
      </c>
      <c r="H16" s="123" t="s">
        <v>0</v>
      </c>
      <c r="I16" s="86">
        <f>Tc</f>
        <v>295</v>
      </c>
      <c r="J16" s="3">
        <f>I20</f>
        <v>336.46681290814189</v>
      </c>
      <c r="K16" s="3">
        <f t="shared" ref="K16:P16" si="17">J20</f>
        <v>375.67343425886042</v>
      </c>
      <c r="L16" s="3">
        <f t="shared" si="17"/>
        <v>412.65071859929589</v>
      </c>
      <c r="M16" s="3">
        <f t="shared" si="17"/>
        <v>447.42727312914241</v>
      </c>
      <c r="N16" s="3">
        <f t="shared" si="17"/>
        <v>480.02957876867134</v>
      </c>
      <c r="O16" s="3">
        <f t="shared" si="17"/>
        <v>510.48209931825227</v>
      </c>
      <c r="P16" s="3">
        <f t="shared" si="17"/>
        <v>538.80737984067855</v>
      </c>
    </row>
    <row r="17" spans="2:46" ht="15.75" thickBot="1">
      <c r="B17" s="20" t="s">
        <v>72</v>
      </c>
      <c r="C17" s="21" t="s">
        <v>35</v>
      </c>
      <c r="D17" s="166">
        <f>D19/D18</f>
        <v>0.87938144329896906</v>
      </c>
      <c r="E17" s="10" t="s">
        <v>201</v>
      </c>
      <c r="G17" s="35" t="s">
        <v>24</v>
      </c>
      <c r="H17" s="123" t="s">
        <v>0</v>
      </c>
      <c r="I17" s="5">
        <f t="shared" ref="I17:P17" si="18">I16+DT*(I7/$D$21)</f>
        <v>327.75733382525203</v>
      </c>
      <c r="J17" s="5">
        <f t="shared" si="18"/>
        <v>369.22414673339392</v>
      </c>
      <c r="K17" s="5">
        <f t="shared" si="18"/>
        <v>408.43076808411246</v>
      </c>
      <c r="L17" s="5">
        <f t="shared" si="18"/>
        <v>445.40805242454792</v>
      </c>
      <c r="M17" s="5">
        <f t="shared" si="18"/>
        <v>480.18460695439444</v>
      </c>
      <c r="N17" s="5">
        <f t="shared" si="18"/>
        <v>512.78691259392338</v>
      </c>
      <c r="O17" s="5">
        <f t="shared" si="18"/>
        <v>543.23943314350436</v>
      </c>
      <c r="P17" s="5">
        <f t="shared" si="18"/>
        <v>571.56471366593064</v>
      </c>
    </row>
    <row r="18" spans="2:46">
      <c r="B18" s="17" t="s">
        <v>25</v>
      </c>
      <c r="C18" s="18" t="s">
        <v>12</v>
      </c>
      <c r="D18" s="19">
        <v>19.399999999999999</v>
      </c>
      <c r="E18" s="10" t="s">
        <v>208</v>
      </c>
      <c r="G18" s="35" t="s">
        <v>20</v>
      </c>
      <c r="H18" s="123" t="s">
        <v>0</v>
      </c>
      <c r="I18" s="3">
        <f>AVERAGE(I16:I17)</f>
        <v>311.37866691262604</v>
      </c>
      <c r="J18" s="3">
        <f>AVERAGE(J16:J17)</f>
        <v>352.84547982076788</v>
      </c>
      <c r="K18" s="3">
        <f>AVERAGE(K16:K17)</f>
        <v>392.05210117148647</v>
      </c>
      <c r="L18" s="3">
        <f t="shared" ref="L18:P18" si="19">AVERAGE(L16:L17)</f>
        <v>429.02938551192187</v>
      </c>
      <c r="M18" s="3">
        <f t="shared" ref="M18:O18" si="20">AVERAGE(M16:M17)</f>
        <v>463.80594004176839</v>
      </c>
      <c r="N18" s="3">
        <f t="shared" si="20"/>
        <v>496.40824568129733</v>
      </c>
      <c r="O18" s="3">
        <f t="shared" si="20"/>
        <v>526.86076623087831</v>
      </c>
      <c r="P18" s="3">
        <f t="shared" si="19"/>
        <v>555.18604675330459</v>
      </c>
    </row>
    <row r="19" spans="2:46">
      <c r="B19" s="141" t="s">
        <v>196</v>
      </c>
      <c r="D19" s="1">
        <v>17.059999999999999</v>
      </c>
      <c r="G19" s="35" t="s">
        <v>77</v>
      </c>
      <c r="H19" s="123" t="s">
        <v>9</v>
      </c>
      <c r="I19" s="30">
        <f>(1443+0.172*I18)/1000</f>
        <v>1.4965571307089718</v>
      </c>
      <c r="J19" s="30">
        <f>(1443+0.172*J18)/1000</f>
        <v>1.5036894225291721</v>
      </c>
      <c r="K19" s="30">
        <f>(1443+0.172*K18)/1000</f>
        <v>1.5104329614014957</v>
      </c>
      <c r="L19" s="30">
        <f t="shared" ref="L19" si="21">(1443+0.172*L18)/1000</f>
        <v>1.5167930543080506</v>
      </c>
      <c r="M19" s="30">
        <f t="shared" ref="M19:O19" si="22">(1443+0.172*M18)/1000</f>
        <v>1.5227746216871842</v>
      </c>
      <c r="N19" s="30">
        <f t="shared" si="22"/>
        <v>1.5283822182571833</v>
      </c>
      <c r="O19" s="30">
        <f t="shared" si="22"/>
        <v>1.5336200517917111</v>
      </c>
      <c r="P19" s="30">
        <f>(1443+0.172*P18)/1000</f>
        <v>1.5384920000415685</v>
      </c>
    </row>
    <row r="20" spans="2:46">
      <c r="B20" s="145" t="s">
        <v>200</v>
      </c>
      <c r="C20" t="s">
        <v>13</v>
      </c>
      <c r="D20">
        <f>D19*PI()*D18</f>
        <v>1039.7540710026922</v>
      </c>
      <c r="G20" s="35" t="s">
        <v>19</v>
      </c>
      <c r="H20" s="123" t="s">
        <v>0</v>
      </c>
      <c r="I20" s="86">
        <f>I16+I14*1000/(I15*I19)</f>
        <v>336.46681290814189</v>
      </c>
      <c r="J20" s="86">
        <f t="shared" ref="J20:K20" si="23">J16+J14*1000/(J15*J19)</f>
        <v>375.67343425886042</v>
      </c>
      <c r="K20" s="86">
        <f t="shared" si="23"/>
        <v>412.65071859929589</v>
      </c>
      <c r="L20" s="86">
        <f>L16+L14*1000/(L15*L19)</f>
        <v>447.42727312914241</v>
      </c>
      <c r="M20" s="86">
        <f t="shared" ref="M20:O20" si="24">M16+M14*1000/(M15*M19)</f>
        <v>480.02957876867134</v>
      </c>
      <c r="N20" s="86">
        <f t="shared" si="24"/>
        <v>510.48209931825227</v>
      </c>
      <c r="O20" s="86">
        <f t="shared" si="24"/>
        <v>538.80737984067855</v>
      </c>
      <c r="P20" s="86">
        <f>P16+P14*1000/(P15*P19)</f>
        <v>565.02613525406753</v>
      </c>
    </row>
    <row r="21" spans="2:46">
      <c r="B21" s="20" t="s">
        <v>121</v>
      </c>
      <c r="C21" s="21" t="s">
        <v>12</v>
      </c>
      <c r="D21" s="42">
        <f>D19*PI()/2</f>
        <v>26.797785335120935</v>
      </c>
      <c r="E21" s="88"/>
      <c r="G21" s="35" t="s">
        <v>38</v>
      </c>
      <c r="H21" s="123" t="s">
        <v>0</v>
      </c>
      <c r="I21" s="3">
        <f>AVERAGE(I16,I20)</f>
        <v>315.73340645407097</v>
      </c>
      <c r="J21" s="3">
        <f>AVERAGE(J16,J20)</f>
        <v>356.07012358350119</v>
      </c>
      <c r="K21" s="3">
        <f>AVERAGE(K16,K20)</f>
        <v>394.16207642907818</v>
      </c>
      <c r="L21" s="3">
        <f t="shared" ref="L21:O21" si="25">AVERAGE(L16,L20)</f>
        <v>430.03899586421915</v>
      </c>
      <c r="M21" s="3">
        <f t="shared" si="25"/>
        <v>463.72842594890687</v>
      </c>
      <c r="N21" s="3">
        <f t="shared" si="25"/>
        <v>495.25583904346183</v>
      </c>
      <c r="O21" s="3">
        <f t="shared" si="25"/>
        <v>524.64473957946541</v>
      </c>
      <c r="P21" s="3">
        <f>AVERAGE(P16,P20)</f>
        <v>551.91675754737298</v>
      </c>
    </row>
    <row r="22" spans="2:46">
      <c r="B22" s="20"/>
      <c r="C22" s="21"/>
      <c r="D22" s="42"/>
      <c r="E22" s="10"/>
      <c r="G22" s="35" t="s">
        <v>76</v>
      </c>
      <c r="H22" s="123" t="s">
        <v>9</v>
      </c>
      <c r="I22" s="30">
        <f>(1443+0.172*I21)/1000</f>
        <v>1.4973061459101003</v>
      </c>
      <c r="J22" s="30">
        <f>(1443+0.172*J21)/1000</f>
        <v>1.5042440612563621</v>
      </c>
      <c r="K22" s="30">
        <f>(1443+0.172*K21)/1000</f>
        <v>1.5107958771458014</v>
      </c>
      <c r="L22" s="30">
        <f t="shared" ref="L22:N22" si="26">(1443+0.172*L21)/1000</f>
        <v>1.5169667072886457</v>
      </c>
      <c r="M22" s="30">
        <f t="shared" si="26"/>
        <v>1.5227612892632119</v>
      </c>
      <c r="N22" s="30">
        <f t="shared" si="26"/>
        <v>1.5281840043154755</v>
      </c>
      <c r="O22" s="30">
        <f>(1443+0.172*O21)/1000</f>
        <v>1.5332388952076681</v>
      </c>
      <c r="P22" s="30">
        <f>(1443+0.172*P21)/1000</f>
        <v>1.5379296822981483</v>
      </c>
      <c r="R22" s="80"/>
    </row>
    <row r="23" spans="2:46">
      <c r="B23" s="20"/>
      <c r="C23" s="21"/>
      <c r="D23" s="42"/>
      <c r="E23" s="10"/>
    </row>
    <row r="24" spans="2:46">
      <c r="B24" s="20"/>
      <c r="C24" s="21"/>
      <c r="D24" s="82"/>
      <c r="E24" s="10"/>
      <c r="G24" s="35" t="s">
        <v>34</v>
      </c>
      <c r="H24" s="123" t="s">
        <v>2</v>
      </c>
      <c r="I24" s="8">
        <f t="shared" ref="I24:P24" si="27">I15/I6</f>
        <v>11.444672971674342</v>
      </c>
      <c r="J24" s="8">
        <f t="shared" si="27"/>
        <v>11.444672971674342</v>
      </c>
      <c r="K24" s="8">
        <f t="shared" si="27"/>
        <v>11.444672971674342</v>
      </c>
      <c r="L24" s="8">
        <f t="shared" si="27"/>
        <v>11.444672971674342</v>
      </c>
      <c r="M24" s="8">
        <f t="shared" si="27"/>
        <v>11.444672971674342</v>
      </c>
      <c r="N24" s="8">
        <f t="shared" si="27"/>
        <v>11.444672971674342</v>
      </c>
      <c r="O24" s="8">
        <f t="shared" si="27"/>
        <v>11.444672971674342</v>
      </c>
      <c r="P24" s="8">
        <f t="shared" si="27"/>
        <v>11.444672971674342</v>
      </c>
    </row>
    <row r="25" spans="2:46" ht="15.75" thickBot="1">
      <c r="B25" s="27" t="s">
        <v>14</v>
      </c>
      <c r="C25" s="26" t="s">
        <v>15</v>
      </c>
      <c r="D25" s="28">
        <f>COUNT(I11:P11)</f>
        <v>8</v>
      </c>
      <c r="E25" s="10" t="s">
        <v>208</v>
      </c>
      <c r="G25" s="35"/>
      <c r="H25" s="123"/>
      <c r="I25" s="6"/>
      <c r="J25" s="6"/>
      <c r="K25" s="6"/>
      <c r="L25" s="6"/>
      <c r="M25" s="6"/>
      <c r="N25" s="6"/>
      <c r="O25" s="6"/>
      <c r="P25" s="6"/>
      <c r="R25" s="44"/>
      <c r="S25" s="65"/>
    </row>
    <row r="26" spans="2:46" ht="15.75" thickBot="1">
      <c r="G26" s="35" t="s">
        <v>26</v>
      </c>
      <c r="H26" s="123" t="s">
        <v>27</v>
      </c>
      <c r="I26" s="5">
        <f>$D$29</f>
        <v>2</v>
      </c>
      <c r="J26" s="5">
        <f t="shared" ref="J26:P26" si="28">$D$29</f>
        <v>2</v>
      </c>
      <c r="K26" s="5">
        <f t="shared" si="28"/>
        <v>2</v>
      </c>
      <c r="L26" s="5">
        <f>$D$29</f>
        <v>2</v>
      </c>
      <c r="M26" s="5">
        <f t="shared" ref="M26:O26" si="29">$D$29</f>
        <v>2</v>
      </c>
      <c r="N26" s="5">
        <f t="shared" si="29"/>
        <v>2</v>
      </c>
      <c r="O26" s="5">
        <f t="shared" si="29"/>
        <v>2</v>
      </c>
      <c r="P26" s="5">
        <f t="shared" si="28"/>
        <v>2</v>
      </c>
    </row>
    <row r="27" spans="2:46">
      <c r="B27" s="17" t="s">
        <v>70</v>
      </c>
      <c r="C27" s="18" t="s">
        <v>35</v>
      </c>
      <c r="D27" s="48">
        <v>1.5E-5</v>
      </c>
      <c r="E27" s="9" t="s">
        <v>52</v>
      </c>
      <c r="G27" s="35" t="s">
        <v>28</v>
      </c>
      <c r="H27" s="123" t="s">
        <v>29</v>
      </c>
      <c r="I27" s="5">
        <f>$D$31</f>
        <v>1.65</v>
      </c>
      <c r="J27" s="5">
        <f t="shared" ref="J27:P27" si="30">$D$31</f>
        <v>1.65</v>
      </c>
      <c r="K27" s="5">
        <f t="shared" si="30"/>
        <v>1.65</v>
      </c>
      <c r="L27" s="5">
        <f>$D$31</f>
        <v>1.65</v>
      </c>
      <c r="M27" s="5">
        <f t="shared" ref="M27:O27" si="31">$D$31</f>
        <v>1.65</v>
      </c>
      <c r="N27" s="5">
        <f t="shared" si="31"/>
        <v>1.65</v>
      </c>
      <c r="O27" s="5">
        <f t="shared" si="31"/>
        <v>1.65</v>
      </c>
      <c r="P27" s="5">
        <f t="shared" si="30"/>
        <v>1.65</v>
      </c>
    </row>
    <row r="28" spans="2:46">
      <c r="B28" s="20" t="s">
        <v>194</v>
      </c>
      <c r="C28" s="21"/>
      <c r="D28" s="47">
        <f>ROUND(D20/D18/2/D30*1000/SUM(I3:P3)*64/66,0)</f>
        <v>64</v>
      </c>
      <c r="E28" s="10"/>
      <c r="G28" s="35" t="s">
        <v>30</v>
      </c>
      <c r="H28" s="123" t="s">
        <v>29</v>
      </c>
      <c r="I28" s="2">
        <f>I26*25.4-2*I27</f>
        <v>47.5</v>
      </c>
      <c r="J28" s="2">
        <f t="shared" ref="J28:P28" si="32">J26*25.4-2*J27</f>
        <v>47.5</v>
      </c>
      <c r="K28" s="2">
        <f t="shared" si="32"/>
        <v>47.5</v>
      </c>
      <c r="L28" s="2">
        <f>L26*25.4-2*L27</f>
        <v>47.5</v>
      </c>
      <c r="M28" s="2">
        <f t="shared" ref="M28:O28" si="33">M26*25.4-2*M27</f>
        <v>47.5</v>
      </c>
      <c r="N28" s="2">
        <f t="shared" si="33"/>
        <v>47.5</v>
      </c>
      <c r="O28" s="2">
        <f t="shared" si="33"/>
        <v>47.5</v>
      </c>
      <c r="P28" s="2">
        <f t="shared" si="32"/>
        <v>47.5</v>
      </c>
    </row>
    <row r="29" spans="2:46">
      <c r="B29" s="20" t="s">
        <v>26</v>
      </c>
      <c r="C29" s="21" t="s">
        <v>27</v>
      </c>
      <c r="D29" s="22">
        <v>2</v>
      </c>
      <c r="E29" s="10" t="s">
        <v>52</v>
      </c>
      <c r="G29" s="35" t="s">
        <v>31</v>
      </c>
      <c r="H29" s="123" t="s">
        <v>13</v>
      </c>
      <c r="I29" s="15">
        <f>PI()*(I28/1000)^2/4</f>
        <v>1.7720546061654927E-3</v>
      </c>
      <c r="J29" s="15">
        <f t="shared" ref="J29:P29" si="34">PI()*(J28/1000)^2/4</f>
        <v>1.7720546061654927E-3</v>
      </c>
      <c r="K29" s="15">
        <f t="shared" si="34"/>
        <v>1.7720546061654927E-3</v>
      </c>
      <c r="L29" s="15">
        <f>PI()*(L28/1000)^2/4</f>
        <v>1.7720546061654927E-3</v>
      </c>
      <c r="M29" s="15">
        <f t="shared" ref="M29:O29" si="35">PI()*(M28/1000)^2/4</f>
        <v>1.7720546061654927E-3</v>
      </c>
      <c r="N29" s="15">
        <f t="shared" si="35"/>
        <v>1.7720546061654927E-3</v>
      </c>
      <c r="O29" s="15">
        <f t="shared" si="35"/>
        <v>1.7720546061654927E-3</v>
      </c>
      <c r="P29" s="15">
        <f t="shared" si="34"/>
        <v>1.7720546061654927E-3</v>
      </c>
    </row>
    <row r="30" spans="2:46">
      <c r="B30" s="20" t="s">
        <v>26</v>
      </c>
      <c r="C30" s="21" t="s">
        <v>29</v>
      </c>
      <c r="D30" s="42">
        <f>D29*25.4</f>
        <v>50.8</v>
      </c>
      <c r="E30" s="10"/>
      <c r="G30" s="35"/>
      <c r="H30" s="123"/>
      <c r="I30" s="15"/>
      <c r="J30" s="15"/>
      <c r="K30" s="15"/>
      <c r="L30" s="15"/>
      <c r="M30" s="15"/>
      <c r="N30" s="15"/>
      <c r="O30" s="15"/>
      <c r="P30" s="15"/>
    </row>
    <row r="31" spans="2:46" ht="15.75" thickBot="1">
      <c r="B31" s="27" t="s">
        <v>97</v>
      </c>
      <c r="C31" s="26" t="s">
        <v>29</v>
      </c>
      <c r="D31" s="180">
        <v>1.65</v>
      </c>
      <c r="E31" s="10" t="s">
        <v>208</v>
      </c>
      <c r="G31" s="35" t="s">
        <v>36</v>
      </c>
      <c r="H31" s="123" t="s">
        <v>37</v>
      </c>
      <c r="I31" s="29">
        <f t="shared" ref="I31:P31" si="36">2090-0.636*I21</f>
        <v>1889.1935534952108</v>
      </c>
      <c r="J31" s="29">
        <f t="shared" si="36"/>
        <v>1863.5394014008932</v>
      </c>
      <c r="K31" s="29">
        <f t="shared" si="36"/>
        <v>1839.3129193911063</v>
      </c>
      <c r="L31" s="29">
        <f t="shared" si="36"/>
        <v>1816.4951986303568</v>
      </c>
      <c r="M31" s="29">
        <f t="shared" si="36"/>
        <v>1795.0687210964952</v>
      </c>
      <c r="N31" s="29">
        <f t="shared" si="36"/>
        <v>1775.0172863683583</v>
      </c>
      <c r="O31" s="29">
        <f t="shared" si="36"/>
        <v>1756.32594562746</v>
      </c>
      <c r="P31" s="29">
        <f t="shared" si="36"/>
        <v>1738.9809421998707</v>
      </c>
      <c r="T31" s="21"/>
      <c r="U31" s="114"/>
      <c r="V31" s="147"/>
      <c r="W31" s="147"/>
      <c r="X31" s="147"/>
      <c r="Y31" s="147"/>
      <c r="Z31" s="147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</row>
    <row r="32" spans="2:46" ht="15.75" thickBot="1">
      <c r="B32" s="43"/>
      <c r="G32" s="35" t="s">
        <v>39</v>
      </c>
      <c r="H32" s="123" t="s">
        <v>40</v>
      </c>
      <c r="I32" s="30">
        <f t="shared" ref="I32:P32" si="37">(22.714-0.12*I21+0.0002281*I21^2-0.0000001474*I21^3)/1000</f>
        <v>2.9253582766486622E-3</v>
      </c>
      <c r="J32" s="30">
        <f t="shared" si="37"/>
        <v>2.2511302218276093E-3</v>
      </c>
      <c r="K32" s="30">
        <f t="shared" si="37"/>
        <v>1.8264662779502779E-3</v>
      </c>
      <c r="L32" s="30">
        <f t="shared" si="37"/>
        <v>1.570140006434107E-3</v>
      </c>
      <c r="M32" s="30">
        <f t="shared" si="37"/>
        <v>1.4191086541455746E-3</v>
      </c>
      <c r="N32" s="30">
        <f t="shared" si="37"/>
        <v>1.325796482734802E-3</v>
      </c>
      <c r="O32" s="30">
        <f t="shared" si="37"/>
        <v>1.2556656018094579E-3</v>
      </c>
      <c r="P32" s="30">
        <f t="shared" si="37"/>
        <v>1.1850451472914898E-3</v>
      </c>
      <c r="T32" s="21"/>
      <c r="U32" s="152"/>
      <c r="V32" s="152"/>
      <c r="W32" s="152"/>
      <c r="X32" s="152"/>
      <c r="Y32" s="152"/>
      <c r="Z32" s="152"/>
      <c r="AA32" s="152"/>
      <c r="AB32" s="152"/>
      <c r="AC32" s="152"/>
      <c r="AD32" s="152"/>
      <c r="AE32" s="152"/>
      <c r="AF32" s="152"/>
      <c r="AG32" s="152"/>
      <c r="AH32" s="152"/>
      <c r="AI32" s="152"/>
      <c r="AJ32" s="152"/>
      <c r="AK32" s="152"/>
      <c r="AL32" s="152"/>
      <c r="AM32" s="152"/>
      <c r="AN32" s="152"/>
      <c r="AO32" s="152"/>
      <c r="AP32" s="152"/>
      <c r="AQ32" s="152"/>
      <c r="AR32" s="152"/>
      <c r="AS32" s="152"/>
      <c r="AT32" s="21"/>
    </row>
    <row r="33" spans="2:46">
      <c r="B33" s="17" t="s">
        <v>99</v>
      </c>
      <c r="C33" s="18" t="s">
        <v>35</v>
      </c>
      <c r="D33" s="59">
        <f>PI()/2</f>
        <v>1.5707963267948966</v>
      </c>
      <c r="E33" s="9" t="s">
        <v>100</v>
      </c>
      <c r="G33" s="35" t="s">
        <v>161</v>
      </c>
      <c r="H33" s="123" t="s">
        <v>47</v>
      </c>
      <c r="I33" s="12">
        <f>I32/I31*10^6</f>
        <v>1.5484693303322126</v>
      </c>
      <c r="J33" s="12">
        <f t="shared" ref="J33:P33" si="38">J32/J31*10^6</f>
        <v>1.2079863834031894</v>
      </c>
      <c r="K33" s="12">
        <f t="shared" si="38"/>
        <v>0.99301552155405881</v>
      </c>
      <c r="L33" s="12">
        <f t="shared" si="38"/>
        <v>0.86437883657385806</v>
      </c>
      <c r="M33" s="12">
        <f t="shared" ref="M33:N33" si="39">M32/M31*10^6</f>
        <v>0.79055951310807193</v>
      </c>
      <c r="N33" s="12">
        <f t="shared" si="39"/>
        <v>0.74692032179999146</v>
      </c>
      <c r="O33" s="12">
        <f>O32/O31*10^6</f>
        <v>0.71493882154138677</v>
      </c>
      <c r="P33" s="12">
        <f t="shared" si="38"/>
        <v>0.68145953675166038</v>
      </c>
      <c r="T33" s="114"/>
      <c r="U33" s="147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</row>
    <row r="34" spans="2:46">
      <c r="B34" s="20" t="s">
        <v>96</v>
      </c>
      <c r="C34" s="21" t="s">
        <v>35</v>
      </c>
      <c r="D34" s="66">
        <f>(D29*25.4)/(D29*25.4-2*D31)</f>
        <v>1.0694736842105264</v>
      </c>
      <c r="E34" s="10" t="s">
        <v>101</v>
      </c>
      <c r="G34" s="35"/>
      <c r="H34" s="123"/>
      <c r="I34" s="2"/>
      <c r="J34" s="2"/>
      <c r="K34" s="2"/>
      <c r="L34" s="2"/>
      <c r="M34" s="2"/>
      <c r="N34" s="2"/>
      <c r="O34" s="2"/>
      <c r="P34" s="2"/>
      <c r="T34" s="21"/>
      <c r="U34" s="147"/>
      <c r="V34" s="21"/>
      <c r="W34" s="21"/>
      <c r="X34" s="21"/>
      <c r="Y34" s="21"/>
      <c r="Z34" s="21"/>
    </row>
    <row r="35" spans="2:46" ht="15.75" thickBot="1">
      <c r="B35" s="68" t="s">
        <v>102</v>
      </c>
      <c r="C35" s="43" t="s">
        <v>41</v>
      </c>
      <c r="D35" s="110">
        <v>7</v>
      </c>
      <c r="E35" s="69" t="s">
        <v>103</v>
      </c>
      <c r="G35" s="35" t="s">
        <v>46</v>
      </c>
      <c r="H35" s="123" t="s">
        <v>41</v>
      </c>
      <c r="I35" s="75">
        <f t="shared" ref="I35:P35" si="40">I24/I31/I29</f>
        <v>3.4186121496700408</v>
      </c>
      <c r="J35" s="75">
        <f t="shared" si="40"/>
        <v>3.4656739912244445</v>
      </c>
      <c r="K35" s="75">
        <f t="shared" si="40"/>
        <v>3.5113220632381941</v>
      </c>
      <c r="L35" s="75">
        <f t="shared" si="40"/>
        <v>3.5554291802844928</v>
      </c>
      <c r="M35" s="75">
        <f t="shared" si="40"/>
        <v>3.5978678471496073</v>
      </c>
      <c r="N35" s="75">
        <f t="shared" si="40"/>
        <v>3.6385110638955043</v>
      </c>
      <c r="O35" s="75">
        <f t="shared" si="40"/>
        <v>3.6772331759579679</v>
      </c>
      <c r="P35" s="75">
        <f t="shared" si="40"/>
        <v>3.7139107613720728</v>
      </c>
    </row>
    <row r="36" spans="2:46">
      <c r="B36" s="68" t="s">
        <v>104</v>
      </c>
      <c r="C36" s="43" t="s">
        <v>83</v>
      </c>
      <c r="D36" s="67">
        <f>4.1*D35+3.8 - 5.5</f>
        <v>26.999999999999993</v>
      </c>
      <c r="E36" s="69" t="s">
        <v>103</v>
      </c>
      <c r="G36" s="35" t="s">
        <v>42</v>
      </c>
      <c r="H36" s="123" t="s">
        <v>35</v>
      </c>
      <c r="I36" s="14">
        <f>I35*(I28/1000)/(I33*10^-6)</f>
        <v>104867.4803746282</v>
      </c>
      <c r="J36" s="14">
        <f t="shared" ref="J36:P36" si="41">J35*(J28/1000)/(J33*10^-6)</f>
        <v>136275.96870702153</v>
      </c>
      <c r="K36" s="14">
        <f t="shared" si="41"/>
        <v>167960.91741123347</v>
      </c>
      <c r="L36" s="14">
        <f>L35*(L28/1000)/(L33*10^-6)</f>
        <v>195380.63510776733</v>
      </c>
      <c r="M36" s="14">
        <f t="shared" ref="M36:O36" si="42">M35*(M28/1000)/(M33*10^-6)</f>
        <v>216174.39282682311</v>
      </c>
      <c r="N36" s="14">
        <f t="shared" si="42"/>
        <v>231389.17296899614</v>
      </c>
      <c r="O36" s="14">
        <f t="shared" si="42"/>
        <v>244312.61891950871</v>
      </c>
      <c r="P36" s="14">
        <f t="shared" si="41"/>
        <v>258871.9529938307</v>
      </c>
      <c r="U36" s="160">
        <v>50</v>
      </c>
      <c r="V36" s="161">
        <v>100</v>
      </c>
      <c r="W36" s="161">
        <v>150</v>
      </c>
      <c r="X36" s="161">
        <v>200</v>
      </c>
      <c r="Y36" s="161">
        <v>250</v>
      </c>
      <c r="Z36" s="161">
        <v>300</v>
      </c>
      <c r="AA36" s="161">
        <v>350</v>
      </c>
      <c r="AB36" s="161">
        <v>400</v>
      </c>
      <c r="AC36" s="161">
        <v>450</v>
      </c>
      <c r="AD36" s="161">
        <v>500</v>
      </c>
      <c r="AE36" s="161">
        <v>565</v>
      </c>
      <c r="AF36" s="161">
        <v>600</v>
      </c>
      <c r="AG36" s="161">
        <v>650</v>
      </c>
      <c r="AH36" s="161">
        <v>700</v>
      </c>
      <c r="AI36" s="161">
        <v>750</v>
      </c>
      <c r="AJ36" s="162" t="s">
        <v>205</v>
      </c>
      <c r="AL36" s="140"/>
      <c r="AM36" s="140"/>
    </row>
    <row r="37" spans="2:46" ht="15.75" thickBot="1">
      <c r="B37" s="68" t="s">
        <v>109</v>
      </c>
      <c r="C37" s="43" t="s">
        <v>0</v>
      </c>
      <c r="D37" s="67">
        <v>27</v>
      </c>
      <c r="E37" s="69"/>
      <c r="G37" s="127" t="s">
        <v>43</v>
      </c>
      <c r="H37" s="123" t="s">
        <v>35</v>
      </c>
      <c r="I37" s="61">
        <f t="shared" ref="I37:P37" si="43">(-1/1.8/LOG10(($D27/(I28/1000)/3.7)^1.11+6.9/I36))^2</f>
        <v>1.9131019894769119E-2</v>
      </c>
      <c r="J37" s="61">
        <f t="shared" si="43"/>
        <v>1.844097257044066E-2</v>
      </c>
      <c r="K37" s="61">
        <f t="shared" si="43"/>
        <v>1.7959883745459326E-2</v>
      </c>
      <c r="L37" s="61">
        <f t="shared" si="43"/>
        <v>1.7647803305819908E-2</v>
      </c>
      <c r="M37" s="61">
        <f t="shared" si="43"/>
        <v>1.7455010899989621E-2</v>
      </c>
      <c r="N37" s="61">
        <f t="shared" si="43"/>
        <v>1.7332249551181528E-2</v>
      </c>
      <c r="O37" s="61">
        <f t="shared" si="43"/>
        <v>1.7238026375309565E-2</v>
      </c>
      <c r="P37" s="61">
        <f t="shared" si="43"/>
        <v>1.7141357475898126E-2</v>
      </c>
      <c r="T37" s="7">
        <f>D75</f>
        <v>6.07639527671423</v>
      </c>
      <c r="U37" s="163">
        <f t="dataTable" ref="U37:AI37" dt2D="0" dtr="1" r1="D9" ca="1"/>
        <v>0.38823823976782379</v>
      </c>
      <c r="V37" s="164">
        <v>0.78278175908819636</v>
      </c>
      <c r="W37" s="164">
        <v>1.1885223663615117</v>
      </c>
      <c r="X37" s="164">
        <v>1.6100499903961514</v>
      </c>
      <c r="Y37" s="164">
        <v>2.0518277676773087</v>
      </c>
      <c r="Z37" s="164">
        <v>2.5182494274946721</v>
      </c>
      <c r="AA37" s="164">
        <v>3.0136660336654533</v>
      </c>
      <c r="AB37" s="164">
        <v>3.5424004982218098</v>
      </c>
      <c r="AC37" s="164">
        <v>4.108756221835864</v>
      </c>
      <c r="AD37" s="164">
        <v>4.7170225763998186</v>
      </c>
      <c r="AE37" s="164">
        <v>5.5774610269842704</v>
      </c>
      <c r="AF37" s="164">
        <v>6.07639527671423</v>
      </c>
      <c r="AG37" s="164">
        <v>6.8360378025409432</v>
      </c>
      <c r="AH37" s="164">
        <v>7.6546664144758836</v>
      </c>
      <c r="AI37" s="164">
        <v>8.5365375992479624</v>
      </c>
      <c r="AJ37" s="165" t="s">
        <v>206</v>
      </c>
      <c r="AL37" s="140"/>
      <c r="AM37" s="140"/>
    </row>
    <row r="38" spans="2:46">
      <c r="B38" s="68" t="s">
        <v>105</v>
      </c>
      <c r="C38" s="43" t="s">
        <v>110</v>
      </c>
      <c r="D38" s="74">
        <v>5.6699999999999998E-8</v>
      </c>
      <c r="E38" s="72" t="s">
        <v>107</v>
      </c>
      <c r="G38" s="127" t="s">
        <v>44</v>
      </c>
      <c r="H38" s="123" t="s">
        <v>45</v>
      </c>
      <c r="I38" s="62">
        <f t="shared" ref="I38:P38" si="44">(I37*(I8*1000/I28)*(I31/2)*I35^2)*10^-5</f>
        <v>0.86256606163679528</v>
      </c>
      <c r="J38" s="62">
        <f t="shared" si="44"/>
        <v>0.8428997797344423</v>
      </c>
      <c r="K38" s="62">
        <f t="shared" si="44"/>
        <v>0.83172278264542743</v>
      </c>
      <c r="L38" s="62">
        <f t="shared" si="44"/>
        <v>0.82753638622531633</v>
      </c>
      <c r="M38" s="62">
        <f t="shared" si="44"/>
        <v>0.82826582626068479</v>
      </c>
      <c r="N38" s="62">
        <f t="shared" si="44"/>
        <v>0.83173129870967089</v>
      </c>
      <c r="O38" s="62">
        <f t="shared" si="44"/>
        <v>0.83601317544002862</v>
      </c>
      <c r="P38" s="62">
        <f t="shared" si="44"/>
        <v>0.8396167376911714</v>
      </c>
      <c r="T38" s="21"/>
      <c r="U38" s="147"/>
      <c r="V38" s="21"/>
      <c r="W38" s="21"/>
      <c r="X38" s="21"/>
      <c r="Y38" s="21"/>
      <c r="Z38" s="21"/>
      <c r="AI38" s="140"/>
      <c r="AJ38" s="140"/>
      <c r="AK38" s="140"/>
      <c r="AL38" s="140"/>
      <c r="AM38" s="140"/>
    </row>
    <row r="39" spans="2:46">
      <c r="B39" s="68" t="s">
        <v>106</v>
      </c>
      <c r="C39" s="43" t="s">
        <v>35</v>
      </c>
      <c r="D39" s="144">
        <v>0.91</v>
      </c>
      <c r="E39" s="72" t="s">
        <v>108</v>
      </c>
      <c r="F39" s="80"/>
      <c r="G39" s="35"/>
      <c r="H39" s="123"/>
      <c r="I39" s="13"/>
      <c r="J39" s="13"/>
      <c r="K39" s="13"/>
      <c r="L39" s="13"/>
      <c r="M39" s="13"/>
      <c r="N39" s="13"/>
      <c r="O39" s="13"/>
      <c r="P39" s="13"/>
      <c r="AI39" s="140"/>
      <c r="AJ39" s="140"/>
      <c r="AK39" s="140"/>
      <c r="AL39" s="140"/>
      <c r="AM39" s="140"/>
    </row>
    <row r="40" spans="2:46" ht="15.75" thickBot="1">
      <c r="B40" s="70" t="s">
        <v>198</v>
      </c>
      <c r="C40" s="71" t="s">
        <v>35</v>
      </c>
      <c r="D40" s="144">
        <v>0.96499999999999997</v>
      </c>
      <c r="E40" s="11"/>
      <c r="G40" s="35" t="s">
        <v>90</v>
      </c>
      <c r="H40" s="123" t="s">
        <v>79</v>
      </c>
      <c r="I40" s="45">
        <f t="shared" ref="I40:P40" si="45">0.443+0.00019*I21</f>
        <v>0.50298934722627353</v>
      </c>
      <c r="J40" s="45">
        <f t="shared" si="45"/>
        <v>0.51065332348086523</v>
      </c>
      <c r="K40" s="45">
        <f t="shared" si="45"/>
        <v>0.51789079452152487</v>
      </c>
      <c r="L40" s="45">
        <f t="shared" si="45"/>
        <v>0.52470740921420167</v>
      </c>
      <c r="M40" s="45">
        <f t="shared" si="45"/>
        <v>0.53110840093029232</v>
      </c>
      <c r="N40" s="45">
        <f t="shared" si="45"/>
        <v>0.53709860941825771</v>
      </c>
      <c r="O40" s="45">
        <f t="shared" si="45"/>
        <v>0.54268250052009848</v>
      </c>
      <c r="P40" s="45">
        <f t="shared" si="45"/>
        <v>0.54786418393400083</v>
      </c>
      <c r="AI40" s="140"/>
      <c r="AJ40" s="140"/>
      <c r="AK40" s="140"/>
      <c r="AL40" s="140"/>
      <c r="AM40" s="140"/>
    </row>
    <row r="41" spans="2:46" ht="15.75" thickBot="1">
      <c r="G41" s="35" t="s">
        <v>80</v>
      </c>
      <c r="H41" s="123" t="s">
        <v>35</v>
      </c>
      <c r="I41" s="13">
        <f t="shared" ref="I41:P41" si="46">I22*1000*I32/I40</f>
        <v>8.7082498879336594</v>
      </c>
      <c r="J41" s="13">
        <f t="shared" si="46"/>
        <v>6.6312096907869922</v>
      </c>
      <c r="K41" s="13">
        <f t="shared" si="46"/>
        <v>5.3281845355496635</v>
      </c>
      <c r="L41" s="13">
        <f t="shared" si="46"/>
        <v>4.5393872350870037</v>
      </c>
      <c r="M41" s="13">
        <f t="shared" si="46"/>
        <v>4.0687809117802338</v>
      </c>
      <c r="N41" s="13">
        <f t="shared" si="46"/>
        <v>3.772232775071807</v>
      </c>
      <c r="O41" s="13">
        <f t="shared" si="46"/>
        <v>3.5476274584558913</v>
      </c>
      <c r="P41" s="13">
        <f t="shared" si="46"/>
        <v>3.3265837781111731</v>
      </c>
      <c r="V41" t="s">
        <v>41</v>
      </c>
      <c r="AI41" s="140"/>
      <c r="AJ41" s="140"/>
      <c r="AK41" s="140"/>
      <c r="AL41" s="140"/>
      <c r="AM41" s="140"/>
    </row>
    <row r="42" spans="2:46">
      <c r="B42" s="17" t="s">
        <v>123</v>
      </c>
      <c r="C42" s="18" t="s">
        <v>12</v>
      </c>
      <c r="D42" s="19">
        <v>232.63</v>
      </c>
      <c r="E42" s="9" t="s">
        <v>207</v>
      </c>
      <c r="G42" s="35" t="s">
        <v>81</v>
      </c>
      <c r="H42" s="123" t="s">
        <v>35</v>
      </c>
      <c r="I42" s="3">
        <f>0.023*I36^0.8*I41^(0.4)</f>
        <v>567.82283790139559</v>
      </c>
      <c r="J42" s="3">
        <f>0.023*J36^0.8*J41^(0.4)</f>
        <v>627.91428426273342</v>
      </c>
      <c r="K42" s="3">
        <f t="shared" ref="K42:P42" si="47">0.023*K36^0.8*K41^(0.4)</f>
        <v>680.02695800848471</v>
      </c>
      <c r="L42" s="3">
        <f>0.023*L36^0.8*L41^(0.4)</f>
        <v>719.83331473132148</v>
      </c>
      <c r="M42" s="3">
        <f t="shared" ref="M42:O42" si="48">0.023*M36^0.8*M41^(0.4)</f>
        <v>747.06253371042624</v>
      </c>
      <c r="N42" s="3">
        <f t="shared" si="48"/>
        <v>765.3175221464511</v>
      </c>
      <c r="O42" s="3">
        <f t="shared" si="48"/>
        <v>779.93742162258752</v>
      </c>
      <c r="P42" s="3">
        <f t="shared" si="47"/>
        <v>796.15059184148333</v>
      </c>
      <c r="T42" t="s">
        <v>192</v>
      </c>
      <c r="U42" s="153">
        <f>D79</f>
        <v>38.167761471678091</v>
      </c>
      <c r="V42" s="154">
        <v>5</v>
      </c>
      <c r="W42" s="154">
        <v>7.5</v>
      </c>
      <c r="X42" s="154">
        <v>10</v>
      </c>
      <c r="Y42" s="154">
        <v>12.5</v>
      </c>
      <c r="Z42" s="154">
        <v>15</v>
      </c>
      <c r="AH42" s="100">
        <f>V42</f>
        <v>5</v>
      </c>
      <c r="AI42" s="100">
        <f t="shared" ref="AI42:AL42" si="49">W42</f>
        <v>7.5</v>
      </c>
      <c r="AJ42" s="100">
        <f t="shared" si="49"/>
        <v>10</v>
      </c>
      <c r="AK42" s="100">
        <f t="shared" si="49"/>
        <v>12.5</v>
      </c>
      <c r="AL42" s="100">
        <f t="shared" si="49"/>
        <v>15</v>
      </c>
      <c r="AM42" s="140"/>
    </row>
    <row r="43" spans="2:46">
      <c r="B43" s="20" t="s">
        <v>50</v>
      </c>
      <c r="C43" s="21" t="s">
        <v>37</v>
      </c>
      <c r="D43" s="42">
        <f>2090-0.636*Tc</f>
        <v>1902.38</v>
      </c>
      <c r="E43" s="130"/>
      <c r="G43" s="35" t="s">
        <v>82</v>
      </c>
      <c r="H43" s="123" t="s">
        <v>83</v>
      </c>
      <c r="I43" s="14">
        <f>I42*I40/(I28/1000)</f>
        <v>6012.8176542356441</v>
      </c>
      <c r="J43" s="14">
        <f t="shared" ref="J43:P43" si="50">J42*J40/(J28/1000)</f>
        <v>6750.452970944707</v>
      </c>
      <c r="K43" s="14">
        <f t="shared" si="50"/>
        <v>7414.3095069277852</v>
      </c>
      <c r="L43" s="14">
        <f>L42*L40/(L28/1000)</f>
        <v>7951.6183923945837</v>
      </c>
      <c r="M43" s="14">
        <f t="shared" ref="M43:O43" si="51">M42*M40/(M28/1000)</f>
        <v>8353.0776352395169</v>
      </c>
      <c r="N43" s="14">
        <f t="shared" si="51"/>
        <v>8653.7047770165373</v>
      </c>
      <c r="O43" s="14">
        <f t="shared" si="51"/>
        <v>8910.7029519019816</v>
      </c>
      <c r="P43" s="14">
        <f t="shared" si="50"/>
        <v>9182.7872481643371</v>
      </c>
      <c r="T43" s="148">
        <v>0.15</v>
      </c>
      <c r="U43" s="155">
        <f t="shared" ref="U43:U48" si="52">T43*$D$8</f>
        <v>90</v>
      </c>
      <c r="V43" s="156">
        <f t="dataTable" ref="V43:Z48" dt2D="1" dtr="1" r1="D35" r2="D9" ca="1"/>
        <v>26.344071902044981</v>
      </c>
      <c r="W43" s="156">
        <v>31.091838849972092</v>
      </c>
      <c r="X43" s="156">
        <v>35.839605797899203</v>
      </c>
      <c r="Y43" s="156">
        <v>40.587372745826315</v>
      </c>
      <c r="Z43" s="157">
        <v>45.335139693753433</v>
      </c>
      <c r="AB43">
        <f t="shared" ref="AB43:AF47" si="53">($U43+V43)/$D$40</f>
        <v>120.56380507983937</v>
      </c>
      <c r="AC43">
        <f t="shared" si="53"/>
        <v>125.48377082898662</v>
      </c>
      <c r="AD43">
        <f t="shared" si="53"/>
        <v>130.40373657813387</v>
      </c>
      <c r="AE43">
        <f t="shared" si="53"/>
        <v>135.32370232728115</v>
      </c>
      <c r="AF43">
        <f t="shared" si="53"/>
        <v>140.24366807642843</v>
      </c>
      <c r="AH43" s="143">
        <f>$U43/AB43</f>
        <v>0.74649269687864028</v>
      </c>
      <c r="AI43" s="143">
        <f t="shared" ref="AI43:AL47" si="54">$U43/AC43</f>
        <v>0.71722422274554487</v>
      </c>
      <c r="AJ43" s="143">
        <f t="shared" si="54"/>
        <v>0.69016427260176549</v>
      </c>
      <c r="AK43" s="143">
        <f t="shared" si="54"/>
        <v>0.66507196043405969</v>
      </c>
      <c r="AL43" s="143">
        <f t="shared" si="54"/>
        <v>0.64174020285145994</v>
      </c>
    </row>
    <row r="44" spans="2:46">
      <c r="B44" s="68" t="s">
        <v>125</v>
      </c>
      <c r="C44" s="43" t="s">
        <v>124</v>
      </c>
      <c r="D44" s="22">
        <v>9.81</v>
      </c>
      <c r="E44" s="90"/>
      <c r="G44" s="127" t="s">
        <v>92</v>
      </c>
      <c r="H44" s="123" t="s">
        <v>94</v>
      </c>
      <c r="I44" s="8">
        <f>(1/I43)*$D$34*1000</f>
        <v>0.17786564398092977</v>
      </c>
      <c r="J44" s="8">
        <f>(1/J43)*$D$34*1000</f>
        <v>0.15842991408335913</v>
      </c>
      <c r="K44" s="8">
        <f t="shared" ref="K44" si="55">(1/K43)*$D$34*1000</f>
        <v>0.14424454269291445</v>
      </c>
      <c r="L44" s="8">
        <f>(1/L43)*$D$34*1000</f>
        <v>0.13449761186143397</v>
      </c>
      <c r="M44" s="8">
        <f t="shared" ref="M44:O44" si="56">(1/M43)*$D$34*1000</f>
        <v>0.12803349027892283</v>
      </c>
      <c r="N44" s="8">
        <f t="shared" si="56"/>
        <v>0.12358564473460575</v>
      </c>
      <c r="O44" s="8">
        <f t="shared" si="56"/>
        <v>0.12002124747994748</v>
      </c>
      <c r="P44" s="8">
        <f>(1/P43)*$D$34*1000</f>
        <v>0.11646504000452769</v>
      </c>
      <c r="T44" s="148">
        <v>0.25</v>
      </c>
      <c r="U44" s="155">
        <f t="shared" si="52"/>
        <v>150</v>
      </c>
      <c r="V44" s="156">
        <v>27.36000944582419</v>
      </c>
      <c r="W44" s="156">
        <v>32.204488120625797</v>
      </c>
      <c r="X44" s="156">
        <v>37.048966795427404</v>
      </c>
      <c r="Y44" s="156">
        <v>41.893445470229004</v>
      </c>
      <c r="Z44" s="157">
        <v>46.737924145030611</v>
      </c>
      <c r="AB44">
        <f t="shared" si="53"/>
        <v>183.79275590240849</v>
      </c>
      <c r="AC44">
        <f t="shared" si="53"/>
        <v>188.81294105764331</v>
      </c>
      <c r="AD44">
        <f t="shared" si="53"/>
        <v>193.83312621287817</v>
      </c>
      <c r="AE44">
        <f t="shared" si="53"/>
        <v>198.85331136811297</v>
      </c>
      <c r="AF44">
        <f t="shared" si="53"/>
        <v>203.8734965233478</v>
      </c>
      <c r="AH44" s="143">
        <f t="shared" ref="AH44:AH47" si="57">$U44/AB44</f>
        <v>0.81613662771152962</v>
      </c>
      <c r="AI44" s="143">
        <f t="shared" si="54"/>
        <v>0.79443707173760947</v>
      </c>
      <c r="AJ44" s="143">
        <f t="shared" si="54"/>
        <v>0.7738615319822153</v>
      </c>
      <c r="AK44" s="143">
        <f t="shared" si="54"/>
        <v>0.75432487881644184</v>
      </c>
      <c r="AL44" s="143">
        <f t="shared" si="54"/>
        <v>0.73575036754628798</v>
      </c>
    </row>
    <row r="45" spans="2:46" ht="15.75" thickBot="1">
      <c r="B45" s="27" t="s">
        <v>153</v>
      </c>
      <c r="C45" s="26" t="s">
        <v>45</v>
      </c>
      <c r="D45" s="112">
        <f>D43*D44*D42/100000</f>
        <v>43.414219687140005</v>
      </c>
      <c r="E45" s="113"/>
      <c r="G45" s="35" t="s">
        <v>204</v>
      </c>
      <c r="H45" s="123"/>
      <c r="I45" s="8"/>
      <c r="J45" s="14"/>
      <c r="K45" s="14"/>
      <c r="L45" s="14"/>
      <c r="M45" s="14"/>
      <c r="N45" s="14"/>
      <c r="O45" s="14"/>
      <c r="P45" s="14"/>
      <c r="T45" s="148">
        <v>0.5</v>
      </c>
      <c r="U45" s="155">
        <f t="shared" si="52"/>
        <v>300</v>
      </c>
      <c r="V45" s="156">
        <v>29.596389511359892</v>
      </c>
      <c r="W45" s="156">
        <v>34.643415984110987</v>
      </c>
      <c r="X45" s="156">
        <v>39.690442456862073</v>
      </c>
      <c r="Y45" s="156">
        <v>44.737468929613172</v>
      </c>
      <c r="Z45" s="157">
        <v>49.784495402364271</v>
      </c>
      <c r="AB45">
        <f t="shared" si="53"/>
        <v>341.55066270607244</v>
      </c>
      <c r="AC45">
        <f t="shared" si="53"/>
        <v>346.78074195244665</v>
      </c>
      <c r="AD45">
        <f t="shared" si="53"/>
        <v>352.01082119882079</v>
      </c>
      <c r="AE45">
        <f t="shared" si="53"/>
        <v>357.240900445195</v>
      </c>
      <c r="AF45">
        <f t="shared" si="53"/>
        <v>362.4709796915692</v>
      </c>
      <c r="AH45" s="143">
        <f t="shared" si="57"/>
        <v>0.87834700018770095</v>
      </c>
      <c r="AI45" s="143">
        <f t="shared" si="54"/>
        <v>0.86509994272155522</v>
      </c>
      <c r="AJ45" s="143">
        <f t="shared" si="54"/>
        <v>0.85224652747409624</v>
      </c>
      <c r="AK45" s="143">
        <f t="shared" si="54"/>
        <v>0.83976946543953623</v>
      </c>
      <c r="AL45" s="143">
        <f t="shared" si="54"/>
        <v>0.82765246546157578</v>
      </c>
    </row>
    <row r="46" spans="2:46" ht="15.75" thickBot="1">
      <c r="B46" s="21"/>
      <c r="C46" s="21"/>
      <c r="D46" s="42"/>
      <c r="E46" s="114"/>
      <c r="G46" s="122" t="s">
        <v>91</v>
      </c>
      <c r="H46" s="123" t="s">
        <v>79</v>
      </c>
      <c r="I46" s="132">
        <f t="shared" ref="I46:O46" si="58">0.0155*I21+13.134</f>
        <v>18.027867800038102</v>
      </c>
      <c r="J46" s="132">
        <f t="shared" si="58"/>
        <v>18.653086915544268</v>
      </c>
      <c r="K46" s="58">
        <f t="shared" si="58"/>
        <v>19.243512184650712</v>
      </c>
      <c r="L46" s="58">
        <f t="shared" si="58"/>
        <v>19.799604435895397</v>
      </c>
      <c r="M46" s="58">
        <f t="shared" si="58"/>
        <v>20.321790602208058</v>
      </c>
      <c r="N46" s="58">
        <f t="shared" si="58"/>
        <v>20.81046550517366</v>
      </c>
      <c r="O46" s="58">
        <f t="shared" si="58"/>
        <v>21.265993463481713</v>
      </c>
      <c r="P46" s="58">
        <f>0.0155*P21+13.134</f>
        <v>21.688709741984283</v>
      </c>
      <c r="T46" s="148">
        <v>0.75</v>
      </c>
      <c r="U46" s="155">
        <f t="shared" si="52"/>
        <v>450</v>
      </c>
      <c r="V46" s="156">
        <v>31.722000559675976</v>
      </c>
      <c r="W46" s="156">
        <v>36.950034813994421</v>
      </c>
      <c r="X46" s="156">
        <v>42.178069068312858</v>
      </c>
      <c r="Y46" s="156">
        <v>47.406103322631296</v>
      </c>
      <c r="Z46" s="157">
        <v>52.63413757694974</v>
      </c>
      <c r="AB46">
        <f t="shared" si="53"/>
        <v>499.19378296339477</v>
      </c>
      <c r="AC46">
        <f t="shared" si="53"/>
        <v>504.61143504040876</v>
      </c>
      <c r="AD46">
        <f t="shared" si="53"/>
        <v>510.0290871174227</v>
      </c>
      <c r="AE46">
        <f t="shared" si="53"/>
        <v>515.44673919443653</v>
      </c>
      <c r="AF46">
        <f t="shared" si="53"/>
        <v>520.86439127145047</v>
      </c>
      <c r="AH46" s="143">
        <f t="shared" si="57"/>
        <v>0.90145353439427334</v>
      </c>
      <c r="AI46" s="143">
        <f t="shared" si="54"/>
        <v>0.89177527252026001</v>
      </c>
      <c r="AJ46" s="143">
        <f t="shared" si="54"/>
        <v>0.88230262031388351</v>
      </c>
      <c r="AK46" s="143">
        <f t="shared" si="54"/>
        <v>0.87302909453512179</v>
      </c>
      <c r="AL46" s="143">
        <f t="shared" si="54"/>
        <v>0.86394848167971761</v>
      </c>
    </row>
    <row r="47" spans="2:46">
      <c r="B47" s="17" t="s">
        <v>155</v>
      </c>
      <c r="C47" s="115" t="s">
        <v>41</v>
      </c>
      <c r="D47" s="116">
        <v>4</v>
      </c>
      <c r="E47" s="117" t="s">
        <v>156</v>
      </c>
      <c r="G47" s="127" t="s">
        <v>85</v>
      </c>
      <c r="H47" s="123" t="s">
        <v>94</v>
      </c>
      <c r="I47" s="46">
        <f>((I27/1000)/I46)*1000</f>
        <v>9.1524966696089977E-2</v>
      </c>
      <c r="J47" s="46">
        <f t="shared" ref="J47:P47" si="59">((J27/1000)/J46)*1000</f>
        <v>8.8457208582725114E-2</v>
      </c>
      <c r="K47" s="46">
        <f t="shared" si="59"/>
        <v>8.5743183685361588E-2</v>
      </c>
      <c r="L47" s="46">
        <f t="shared" si="59"/>
        <v>8.3334998198684063E-2</v>
      </c>
      <c r="M47" s="46">
        <f t="shared" ref="M47:O47" si="60">((M27/1000)/M46)*1000</f>
        <v>8.1193632603453747E-2</v>
      </c>
      <c r="N47" s="46">
        <f t="shared" si="60"/>
        <v>7.9287029864362993E-2</v>
      </c>
      <c r="O47" s="46">
        <f t="shared" si="60"/>
        <v>7.7588662990675933E-2</v>
      </c>
      <c r="P47" s="46">
        <f t="shared" si="59"/>
        <v>7.6076448051955112E-2</v>
      </c>
      <c r="T47" s="148">
        <f>565/600</f>
        <v>0.94166666666666665</v>
      </c>
      <c r="U47" s="155">
        <f t="shared" si="52"/>
        <v>565</v>
      </c>
      <c r="V47" s="156">
        <v>33.349559964882985</v>
      </c>
      <c r="W47" s="156">
        <v>38.709537334353385</v>
      </c>
      <c r="X47" s="156">
        <v>44.069514703823785</v>
      </c>
      <c r="Y47" s="156">
        <v>49.42949207329417</v>
      </c>
      <c r="Z47" s="157">
        <v>54.78946944276457</v>
      </c>
      <c r="AB47">
        <f t="shared" si="53"/>
        <v>620.05135747656266</v>
      </c>
      <c r="AC47">
        <f t="shared" si="53"/>
        <v>625.60573817031445</v>
      </c>
      <c r="AD47">
        <f t="shared" si="53"/>
        <v>631.16011886406613</v>
      </c>
      <c r="AE47">
        <f t="shared" si="53"/>
        <v>636.7144995578177</v>
      </c>
      <c r="AF47">
        <f t="shared" si="53"/>
        <v>642.2688802515695</v>
      </c>
      <c r="AH47" s="143">
        <f t="shared" si="57"/>
        <v>0.91121484242755879</v>
      </c>
      <c r="AI47" s="143">
        <f t="shared" si="54"/>
        <v>0.90312470862628946</v>
      </c>
      <c r="AJ47" s="143">
        <f t="shared" si="54"/>
        <v>0.89517696558024262</v>
      </c>
      <c r="AK47" s="143">
        <f t="shared" si="54"/>
        <v>0.88736788685098011</v>
      </c>
      <c r="AL47" s="143">
        <f t="shared" si="54"/>
        <v>0.87969387490593631</v>
      </c>
    </row>
    <row r="48" spans="2:46">
      <c r="B48" s="20" t="s">
        <v>157</v>
      </c>
      <c r="C48" s="43" t="s">
        <v>13</v>
      </c>
      <c r="D48" s="111">
        <f>Mtot/D43/D47</f>
        <v>0.19251124123128865</v>
      </c>
      <c r="E48" s="90"/>
      <c r="G48" s="35" t="s">
        <v>95</v>
      </c>
      <c r="H48" s="123" t="s">
        <v>94</v>
      </c>
      <c r="I48" s="46">
        <f>0.00006*1000</f>
        <v>6.0000000000000005E-2</v>
      </c>
      <c r="J48" s="46">
        <f t="shared" ref="J48:P48" si="61">0.00006*1000</f>
        <v>6.0000000000000005E-2</v>
      </c>
      <c r="K48" s="46">
        <f t="shared" si="61"/>
        <v>6.0000000000000005E-2</v>
      </c>
      <c r="L48" s="46">
        <f t="shared" si="61"/>
        <v>6.0000000000000005E-2</v>
      </c>
      <c r="M48" s="46">
        <f t="shared" si="61"/>
        <v>6.0000000000000005E-2</v>
      </c>
      <c r="N48" s="46">
        <f t="shared" si="61"/>
        <v>6.0000000000000005E-2</v>
      </c>
      <c r="O48" s="46">
        <f t="shared" si="61"/>
        <v>6.0000000000000005E-2</v>
      </c>
      <c r="P48" s="46">
        <f t="shared" si="61"/>
        <v>6.0000000000000005E-2</v>
      </c>
      <c r="T48" s="148">
        <v>1</v>
      </c>
      <c r="U48" s="155">
        <f t="shared" si="52"/>
        <v>600</v>
      </c>
      <c r="V48" s="158">
        <v>33.848284255638951</v>
      </c>
      <c r="W48" s="158">
        <v>39.247630775687881</v>
      </c>
      <c r="X48" s="158">
        <v>44.646977295736804</v>
      </c>
      <c r="Y48" s="158">
        <v>50.046323815785726</v>
      </c>
      <c r="Z48" s="159">
        <v>55.445670335834656</v>
      </c>
    </row>
    <row r="49" spans="2:38" ht="15.75" thickBot="1">
      <c r="B49" s="20" t="s">
        <v>154</v>
      </c>
      <c r="C49" s="43" t="s">
        <v>29</v>
      </c>
      <c r="D49" s="42">
        <f>1000*SQRT(4*D48/PI())</f>
        <v>495.0888053084285</v>
      </c>
      <c r="E49" s="90"/>
      <c r="G49" s="35"/>
      <c r="H49" s="123"/>
      <c r="I49" s="14"/>
      <c r="J49" s="14"/>
      <c r="K49" s="14"/>
      <c r="L49" s="14"/>
      <c r="M49" s="14"/>
      <c r="N49" s="14"/>
      <c r="O49" s="14"/>
      <c r="P49" s="14"/>
      <c r="U49" s="139"/>
      <c r="V49" s="26"/>
      <c r="W49" s="26"/>
      <c r="X49" s="26"/>
      <c r="Y49" s="26"/>
      <c r="Z49" s="11"/>
      <c r="AI49" s="7"/>
    </row>
    <row r="50" spans="2:38" ht="15.75" thickBot="1">
      <c r="B50" s="20" t="s">
        <v>159</v>
      </c>
      <c r="C50" s="43" t="s">
        <v>40</v>
      </c>
      <c r="D50" s="111">
        <f>(22.714-0.12*D5+0.0002281*D5^2-0.0000001474*D5^3)/1000</f>
        <v>3.3802944249999977E-3</v>
      </c>
      <c r="E50" s="90"/>
      <c r="G50" s="127" t="s">
        <v>84</v>
      </c>
      <c r="H50" s="123" t="s">
        <v>0</v>
      </c>
      <c r="I50" s="6">
        <f t="shared" ref="I50:P50" si="62">I21+I13*(I44+I47+I48)/$D$33</f>
        <v>466.85385756717085</v>
      </c>
      <c r="J50" s="6">
        <f t="shared" si="62"/>
        <v>489.82643894002945</v>
      </c>
      <c r="K50" s="6">
        <f t="shared" si="62"/>
        <v>513.90066989938725</v>
      </c>
      <c r="L50" s="6">
        <f t="shared" si="62"/>
        <v>538.38531723607048</v>
      </c>
      <c r="M50" s="6">
        <f t="shared" si="62"/>
        <v>562.54295907295068</v>
      </c>
      <c r="N50" s="6">
        <f t="shared" si="62"/>
        <v>585.70795550418779</v>
      </c>
      <c r="O50" s="6">
        <f t="shared" si="62"/>
        <v>607.37656991627148</v>
      </c>
      <c r="P50" s="6">
        <f t="shared" si="62"/>
        <v>627.22770611669614</v>
      </c>
      <c r="AI50" s="7"/>
    </row>
    <row r="51" spans="2:38">
      <c r="B51" s="20" t="s">
        <v>160</v>
      </c>
      <c r="C51" s="43" t="s">
        <v>47</v>
      </c>
      <c r="D51" s="24">
        <f>D50/D43*10^6</f>
        <v>1.7768765572598522</v>
      </c>
      <c r="E51" s="90"/>
      <c r="G51" s="35"/>
      <c r="H51" s="123"/>
      <c r="I51" s="6"/>
      <c r="J51" s="6"/>
      <c r="K51" s="6"/>
      <c r="L51" s="6"/>
      <c r="M51" s="6"/>
      <c r="N51" s="6"/>
      <c r="O51" s="6"/>
      <c r="P51" s="6"/>
      <c r="R51" t="s">
        <v>112</v>
      </c>
      <c r="T51" t="s">
        <v>192</v>
      </c>
      <c r="U51" s="138">
        <f>D79</f>
        <v>38.167761471678091</v>
      </c>
      <c r="V51" s="100">
        <v>0</v>
      </c>
      <c r="W51" s="100">
        <v>10</v>
      </c>
      <c r="X51" s="100">
        <v>20</v>
      </c>
      <c r="Y51" s="100">
        <v>27</v>
      </c>
      <c r="Z51" s="100">
        <v>30</v>
      </c>
      <c r="AH51" s="100">
        <f>V51</f>
        <v>0</v>
      </c>
      <c r="AI51" s="100">
        <f t="shared" ref="AI51" si="63">W51</f>
        <v>10</v>
      </c>
      <c r="AJ51" s="100">
        <f t="shared" ref="AJ51" si="64">X51</f>
        <v>20</v>
      </c>
      <c r="AK51" s="100">
        <f t="shared" ref="AK51" si="65">Y51</f>
        <v>27</v>
      </c>
      <c r="AL51" s="100">
        <f t="shared" ref="AL51" si="66">Z51</f>
        <v>30</v>
      </c>
    </row>
    <row r="52" spans="2:38">
      <c r="B52" s="20" t="s">
        <v>158</v>
      </c>
      <c r="C52" s="43" t="s">
        <v>35</v>
      </c>
      <c r="D52" s="44">
        <f>D47*(D49/1000)/(D51*10^-6)</f>
        <v>1114514.8002220534</v>
      </c>
      <c r="E52" s="90"/>
      <c r="G52" s="35" t="s">
        <v>111</v>
      </c>
      <c r="H52" s="123" t="s">
        <v>112</v>
      </c>
      <c r="I52" s="6">
        <f t="shared" ref="I52:P52" si="67">$D$36*(I50-$D$37)/1000*I9</f>
        <v>749.06168897018529</v>
      </c>
      <c r="J52" s="6">
        <f t="shared" si="67"/>
        <v>788.18350251601896</v>
      </c>
      <c r="K52" s="6">
        <f t="shared" si="67"/>
        <v>829.18140168829348</v>
      </c>
      <c r="L52" s="6">
        <f t="shared" si="67"/>
        <v>870.87823115182618</v>
      </c>
      <c r="M52" s="6">
        <f t="shared" si="67"/>
        <v>912.01817726019215</v>
      </c>
      <c r="N52" s="6">
        <f t="shared" si="67"/>
        <v>951.4676695250655</v>
      </c>
      <c r="O52" s="6">
        <f t="shared" si="67"/>
        <v>988.36885529375093</v>
      </c>
      <c r="P52" s="6">
        <f t="shared" si="67"/>
        <v>1022.174914634714</v>
      </c>
      <c r="Q52" t="s">
        <v>75</v>
      </c>
      <c r="R52" s="44">
        <f>AVERAGE(I52:P52)</f>
        <v>888.91680513000574</v>
      </c>
      <c r="U52" s="139">
        <f>U43</f>
        <v>90</v>
      </c>
      <c r="V52" s="114">
        <f t="dataTable" ref="V52:Z56" dt2D="1" dtr="1" r1="D37" r2="D9" ca="1"/>
        <v>31.010513336049126</v>
      </c>
      <c r="W52" s="114">
        <v>30.693273198744293</v>
      </c>
      <c r="X52" s="114">
        <v>30.371027712773664</v>
      </c>
      <c r="Y52" s="114">
        <v>30.142285460386667</v>
      </c>
      <c r="Z52" s="90">
        <v>30.043416968414054</v>
      </c>
      <c r="AB52">
        <f t="shared" ref="AB52:AF56" si="68">($U52+V52)/$D$40</f>
        <v>125.399495685025</v>
      </c>
      <c r="AC52">
        <f t="shared" si="68"/>
        <v>125.07074942875057</v>
      </c>
      <c r="AD52">
        <f t="shared" si="68"/>
        <v>124.73681628266702</v>
      </c>
      <c r="AE52">
        <f t="shared" si="68"/>
        <v>124.49977767915716</v>
      </c>
      <c r="AF52">
        <f t="shared" si="68"/>
        <v>124.39732328333062</v>
      </c>
      <c r="AH52" s="143">
        <f>$U52/AB52</f>
        <v>0.71770623564595126</v>
      </c>
      <c r="AI52" s="143">
        <f t="shared" ref="AI52:AI56" si="69">$U52/AC52</f>
        <v>0.71959271381251755</v>
      </c>
      <c r="AJ52" s="143">
        <f t="shared" ref="AJ52:AJ56" si="70">$U52/AD52</f>
        <v>0.721519136708206</v>
      </c>
      <c r="AK52" s="143">
        <f t="shared" ref="AK52:AK56" si="71">$U52/AE52</f>
        <v>0.72289285714176132</v>
      </c>
      <c r="AL52" s="143">
        <f t="shared" ref="AL52:AL56" si="72">$U52/AF52</f>
        <v>0.72348823611753788</v>
      </c>
    </row>
    <row r="53" spans="2:38">
      <c r="B53" s="20" t="s">
        <v>162</v>
      </c>
      <c r="C53" s="43" t="s">
        <v>35</v>
      </c>
      <c r="D53" s="111">
        <f>(-1/1.8/LOG10(($D27/(D49/1000)/3.7)^1.11+6.9/D52))^2</f>
        <v>1.1991935209116542E-2</v>
      </c>
      <c r="E53" s="90"/>
      <c r="G53" s="35" t="s">
        <v>113</v>
      </c>
      <c r="H53" s="123" t="s">
        <v>112</v>
      </c>
      <c r="I53" s="6">
        <f t="shared" ref="I53:P53" si="73">$D$38*$D$39*I9*((I50+273)^4-($D$37+273)^4)/1000</f>
        <v>948.74948590637632</v>
      </c>
      <c r="J53" s="6">
        <f t="shared" si="73"/>
        <v>1075.6171475211477</v>
      </c>
      <c r="K53" s="6">
        <f t="shared" si="73"/>
        <v>1221.4524867464602</v>
      </c>
      <c r="L53" s="6">
        <f t="shared" si="73"/>
        <v>1384.1568161254122</v>
      </c>
      <c r="M53" s="6">
        <f t="shared" si="73"/>
        <v>1559.7921539493657</v>
      </c>
      <c r="N53" s="6">
        <f t="shared" si="73"/>
        <v>1743.1445021333566</v>
      </c>
      <c r="O53" s="6">
        <f t="shared" si="73"/>
        <v>1928.6259608169116</v>
      </c>
      <c r="P53" s="6">
        <f t="shared" si="73"/>
        <v>2111.0077415999681</v>
      </c>
      <c r="Q53" t="s">
        <v>75</v>
      </c>
      <c r="R53" s="44">
        <f>AVERAGE(I53:P53)</f>
        <v>1496.5682868498748</v>
      </c>
      <c r="U53" s="139">
        <f t="shared" ref="U53:U56" si="74">U44</f>
        <v>150</v>
      </c>
      <c r="V53" s="114">
        <v>32.103820261327925</v>
      </c>
      <c r="W53" s="114">
        <v>31.7865801240231</v>
      </c>
      <c r="X53" s="114">
        <v>31.464334638052463</v>
      </c>
      <c r="Y53" s="114">
        <v>31.23559238566547</v>
      </c>
      <c r="Z53" s="90">
        <v>31.13672389369286</v>
      </c>
      <c r="AB53">
        <f t="shared" si="68"/>
        <v>188.70862203246421</v>
      </c>
      <c r="AC53">
        <f t="shared" si="68"/>
        <v>188.37987577618975</v>
      </c>
      <c r="AD53">
        <f t="shared" si="68"/>
        <v>188.0459426301062</v>
      </c>
      <c r="AE53">
        <f t="shared" si="68"/>
        <v>187.80890402659637</v>
      </c>
      <c r="AF53">
        <f t="shared" si="68"/>
        <v>187.70644963076981</v>
      </c>
      <c r="AH53" s="143">
        <f t="shared" ref="AH53:AH56" si="75">$U53/AB53</f>
        <v>0.79487624033519244</v>
      </c>
      <c r="AI53" s="143">
        <f t="shared" si="69"/>
        <v>0.79626339799805324</v>
      </c>
      <c r="AJ53" s="143">
        <f t="shared" si="70"/>
        <v>0.79767740745704852</v>
      </c>
      <c r="AK53" s="143">
        <f t="shared" si="71"/>
        <v>0.79868417728883556</v>
      </c>
      <c r="AL53" s="143">
        <f t="shared" si="72"/>
        <v>0.79912011705010277</v>
      </c>
    </row>
    <row r="54" spans="2:38" ht="15.75" thickBot="1">
      <c r="B54" s="27" t="s">
        <v>152</v>
      </c>
      <c r="C54" s="71" t="s">
        <v>45</v>
      </c>
      <c r="D54" s="118">
        <f>(D53*(I8*1000/D49)*(D43/2)*D47^2)*10^-5</f>
        <v>7.1514672712471722E-2</v>
      </c>
      <c r="E54" s="113" t="s">
        <v>190</v>
      </c>
      <c r="G54" s="35"/>
      <c r="H54" s="123"/>
      <c r="I54" s="4"/>
      <c r="J54" s="4"/>
      <c r="K54" s="4"/>
      <c r="L54" s="4"/>
      <c r="M54" s="4"/>
      <c r="N54" s="4"/>
      <c r="O54" s="4"/>
      <c r="P54" s="4"/>
      <c r="U54" s="139">
        <f t="shared" si="74"/>
        <v>300</v>
      </c>
      <c r="V54" s="114">
        <v>34.502238565223223</v>
      </c>
      <c r="W54" s="114">
        <v>34.184998427918387</v>
      </c>
      <c r="X54" s="114">
        <v>33.862752941947761</v>
      </c>
      <c r="Y54" s="114">
        <v>33.63401068956076</v>
      </c>
      <c r="Z54" s="90">
        <v>33.535142197588151</v>
      </c>
      <c r="AB54">
        <f t="shared" si="68"/>
        <v>346.63444410903963</v>
      </c>
      <c r="AC54">
        <f t="shared" si="68"/>
        <v>346.30569785276521</v>
      </c>
      <c r="AD54">
        <f t="shared" si="68"/>
        <v>345.9717647066816</v>
      </c>
      <c r="AE54">
        <f t="shared" si="68"/>
        <v>345.73472610317174</v>
      </c>
      <c r="AF54">
        <f t="shared" si="68"/>
        <v>345.63227170734524</v>
      </c>
      <c r="AH54" s="143">
        <f t="shared" si="75"/>
        <v>0.86546506008972957</v>
      </c>
      <c r="AI54" s="143">
        <f t="shared" si="69"/>
        <v>0.86628664171603531</v>
      </c>
      <c r="AJ54" s="143">
        <f t="shared" si="70"/>
        <v>0.86712278458429426</v>
      </c>
      <c r="AK54" s="143">
        <f t="shared" si="71"/>
        <v>0.86771729117680851</v>
      </c>
      <c r="AL54" s="143">
        <f t="shared" si="72"/>
        <v>0.867974505152739</v>
      </c>
    </row>
    <row r="55" spans="2:38" ht="15.75" thickBot="1">
      <c r="B55" s="21"/>
      <c r="C55" s="43"/>
      <c r="D55" s="111"/>
      <c r="E55" s="114"/>
      <c r="U55" s="139">
        <f t="shared" si="74"/>
        <v>450</v>
      </c>
      <c r="V55" s="114">
        <v>36.772655838793185</v>
      </c>
      <c r="W55" s="114">
        <v>36.455415701488356</v>
      </c>
      <c r="X55" s="114">
        <v>36.133170215517723</v>
      </c>
      <c r="Y55" s="114">
        <v>35.904427963130729</v>
      </c>
      <c r="Z55" s="90">
        <v>35.805559471158119</v>
      </c>
      <c r="AB55">
        <f t="shared" si="68"/>
        <v>504.42762263087377</v>
      </c>
      <c r="AC55">
        <f t="shared" si="68"/>
        <v>504.09887637459934</v>
      </c>
      <c r="AD55">
        <f t="shared" si="68"/>
        <v>503.76494322851579</v>
      </c>
      <c r="AE55">
        <f t="shared" si="68"/>
        <v>503.52790462500593</v>
      </c>
      <c r="AF55">
        <f t="shared" si="68"/>
        <v>503.42545022917943</v>
      </c>
      <c r="AH55" s="143">
        <f t="shared" si="75"/>
        <v>0.89210023363311652</v>
      </c>
      <c r="AI55" s="143">
        <f t="shared" si="69"/>
        <v>0.89268201356910371</v>
      </c>
      <c r="AJ55" s="143">
        <f t="shared" si="70"/>
        <v>0.89327375008679955</v>
      </c>
      <c r="AK55" s="143">
        <f t="shared" si="71"/>
        <v>0.8936942637471702</v>
      </c>
      <c r="AL55" s="143">
        <f t="shared" si="72"/>
        <v>0.89387614351865197</v>
      </c>
    </row>
    <row r="56" spans="2:38">
      <c r="B56" s="17" t="s">
        <v>144</v>
      </c>
      <c r="C56" s="115" t="s">
        <v>49</v>
      </c>
      <c r="D56" s="151">
        <v>0.77</v>
      </c>
      <c r="E56" s="117" t="s">
        <v>23</v>
      </c>
      <c r="U56" s="139">
        <f t="shared" si="74"/>
        <v>565</v>
      </c>
      <c r="V56" s="114">
        <v>38.505769736121763</v>
      </c>
      <c r="W56" s="114">
        <v>38.188529598816928</v>
      </c>
      <c r="X56" s="114">
        <v>37.866284112846301</v>
      </c>
      <c r="Y56" s="114">
        <v>37.637541860459301</v>
      </c>
      <c r="Z56" s="90">
        <v>37.538673368486691</v>
      </c>
      <c r="AB56">
        <f t="shared" si="68"/>
        <v>625.39458003743198</v>
      </c>
      <c r="AC56">
        <f t="shared" si="68"/>
        <v>625.06583378115738</v>
      </c>
      <c r="AD56">
        <f t="shared" si="68"/>
        <v>624.73190063507388</v>
      </c>
      <c r="AE56">
        <f t="shared" si="68"/>
        <v>624.49486203156414</v>
      </c>
      <c r="AF56">
        <f t="shared" si="68"/>
        <v>624.39240763573753</v>
      </c>
      <c r="AH56" s="143">
        <f t="shared" si="75"/>
        <v>0.90342963951843469</v>
      </c>
      <c r="AI56" s="143">
        <f t="shared" si="69"/>
        <v>0.90390478804799446</v>
      </c>
      <c r="AJ56" s="143">
        <f t="shared" si="70"/>
        <v>0.90438794533406541</v>
      </c>
      <c r="AK56" s="143">
        <f t="shared" si="71"/>
        <v>0.9047312225467804</v>
      </c>
      <c r="AL56" s="143">
        <f t="shared" si="72"/>
        <v>0.90487967677149228</v>
      </c>
    </row>
    <row r="57" spans="2:38" ht="15.75" thickBot="1">
      <c r="B57" s="27" t="s">
        <v>48</v>
      </c>
      <c r="C57" s="26" t="s">
        <v>49</v>
      </c>
      <c r="D57" s="150">
        <v>0.72</v>
      </c>
      <c r="E57" s="121" t="s">
        <v>148</v>
      </c>
    </row>
    <row r="58" spans="2:38" ht="15.75" thickBot="1">
      <c r="G58" t="s">
        <v>202</v>
      </c>
      <c r="H58">
        <f>1443/1000</f>
        <v>1.4430000000000001</v>
      </c>
    </row>
    <row r="59" spans="2:38">
      <c r="B59" s="17"/>
      <c r="C59" s="18"/>
      <c r="D59" s="91"/>
      <c r="E59" s="9"/>
      <c r="G59" t="s">
        <v>203</v>
      </c>
      <c r="H59">
        <f>0.172/1000</f>
        <v>1.7199999999999998E-4</v>
      </c>
    </row>
    <row r="60" spans="2:38">
      <c r="B60" s="20"/>
      <c r="C60" s="21"/>
      <c r="D60" s="106"/>
      <c r="E60" s="10"/>
    </row>
    <row r="61" spans="2:38">
      <c r="B61" s="20"/>
      <c r="C61" s="21"/>
      <c r="D61" s="89"/>
      <c r="E61" s="10"/>
      <c r="I61">
        <f>(-$H$58+SQRT($H$58^2+$H$59*2*($H$58*I16+$H$59/2*I16^2+I14/I15*1000)))/$H$59</f>
        <v>336.44611873568726</v>
      </c>
      <c r="J61">
        <f t="shared" ref="J61:P61" si="76">(-$H$58+SQRT($H$58^2+$H$59*2*($H$58*J16+$H$59/2*J16^2+J14/J15*1000)))/$H$59</f>
        <v>375.65901047263162</v>
      </c>
      <c r="K61">
        <f t="shared" si="76"/>
        <v>412.64185475594348</v>
      </c>
      <c r="L61">
        <f t="shared" si="76"/>
        <v>447.42329995637738</v>
      </c>
      <c r="M61">
        <f t="shared" si="76"/>
        <v>480.02986369112841</v>
      </c>
      <c r="N61">
        <f t="shared" si="76"/>
        <v>510.4860424207323</v>
      </c>
      <c r="O61">
        <f t="shared" si="76"/>
        <v>538.81441021092849</v>
      </c>
      <c r="P61">
        <f t="shared" si="76"/>
        <v>565.03570765499978</v>
      </c>
    </row>
    <row r="62" spans="2:38">
      <c r="B62" s="20"/>
      <c r="C62" s="21"/>
      <c r="D62" s="89"/>
      <c r="E62" s="10"/>
    </row>
    <row r="63" spans="2:38">
      <c r="B63" s="68"/>
      <c r="C63" s="43"/>
      <c r="D63" s="110"/>
      <c r="E63" s="10"/>
    </row>
    <row r="64" spans="2:38">
      <c r="B64" s="68"/>
      <c r="C64" s="43"/>
      <c r="D64" s="42"/>
      <c r="E64" s="10"/>
    </row>
    <row r="65" spans="2:13">
      <c r="B65" s="68"/>
      <c r="C65" s="43"/>
      <c r="D65" s="108"/>
      <c r="E65" s="10"/>
    </row>
    <row r="66" spans="2:13" ht="15.75" thickBot="1">
      <c r="B66" s="70"/>
      <c r="C66" s="71"/>
      <c r="D66" s="120"/>
      <c r="E66" s="121"/>
      <c r="F66" s="7"/>
      <c r="M66">
        <f>260-10-D18</f>
        <v>230.6</v>
      </c>
    </row>
    <row r="67" spans="2:13" ht="15.75" thickBot="1">
      <c r="B67" s="43"/>
      <c r="C67" s="43"/>
      <c r="D67" s="108"/>
      <c r="E67" s="94"/>
      <c r="F67" s="7"/>
    </row>
    <row r="68" spans="2:13">
      <c r="B68" s="99" t="s">
        <v>130</v>
      </c>
      <c r="C68" s="100" t="s">
        <v>45</v>
      </c>
      <c r="D68" s="101">
        <f>SUM(I38:P38)</f>
        <v>6.7003520483435377</v>
      </c>
      <c r="E68" s="102"/>
    </row>
    <row r="69" spans="2:13">
      <c r="B69" s="95" t="s">
        <v>142</v>
      </c>
      <c r="C69" s="94" t="s">
        <v>45</v>
      </c>
      <c r="D69" s="142"/>
      <c r="E69" s="10"/>
    </row>
    <row r="70" spans="2:13">
      <c r="B70" s="95" t="s">
        <v>136</v>
      </c>
      <c r="C70" s="94" t="s">
        <v>45</v>
      </c>
      <c r="D70" s="98">
        <f>D68</f>
        <v>6.7003520483435377</v>
      </c>
      <c r="E70" s="10"/>
      <c r="F70" t="s">
        <v>199</v>
      </c>
    </row>
    <row r="71" spans="2:13">
      <c r="B71" s="95" t="s">
        <v>131</v>
      </c>
      <c r="C71" s="94" t="s">
        <v>45</v>
      </c>
      <c r="D71" s="109">
        <f>D68+D70</f>
        <v>13.400704096687075</v>
      </c>
      <c r="E71" s="10" t="s">
        <v>23</v>
      </c>
    </row>
    <row r="72" spans="2:13">
      <c r="B72" s="95" t="s">
        <v>149</v>
      </c>
      <c r="C72" s="94" t="s">
        <v>51</v>
      </c>
      <c r="D72" s="106">
        <f>(D15*D45*10^5/(D43*D57))/10^6</f>
        <v>4.6431807328106496</v>
      </c>
      <c r="E72" s="10"/>
    </row>
    <row r="73" spans="2:13">
      <c r="B73" s="95" t="s">
        <v>151</v>
      </c>
      <c r="C73" s="94" t="s">
        <v>51</v>
      </c>
      <c r="D73" s="106">
        <f>(D15*D54*10^5/(D43*D57))/10^6</f>
        <v>7.6485435611818326E-3</v>
      </c>
      <c r="E73" s="10" t="s">
        <v>190</v>
      </c>
    </row>
    <row r="74" spans="2:13">
      <c r="B74" s="95" t="s">
        <v>150</v>
      </c>
      <c r="C74" s="94" t="s">
        <v>51</v>
      </c>
      <c r="D74" s="106">
        <f>(D15*D71*10^5/(D43*D57))/10^6</f>
        <v>1.4332145439035799</v>
      </c>
      <c r="E74" s="10"/>
    </row>
    <row r="75" spans="2:13" ht="15.75" thickBot="1">
      <c r="B75" s="103" t="s">
        <v>146</v>
      </c>
      <c r="C75" s="104" t="s">
        <v>51</v>
      </c>
      <c r="D75" s="105">
        <f>D72+D74</f>
        <v>6.07639527671423</v>
      </c>
      <c r="E75" s="11"/>
    </row>
    <row r="76" spans="2:13" ht="15.75" thickBot="1">
      <c r="B76" s="94"/>
      <c r="C76" s="94"/>
      <c r="D76" s="96"/>
      <c r="E76" s="21"/>
    </row>
    <row r="77" spans="2:13">
      <c r="B77" s="92" t="s">
        <v>133</v>
      </c>
      <c r="C77" s="93" t="s">
        <v>1</v>
      </c>
      <c r="D77" s="97">
        <f>SUM(I52:P52)/1000 * 2</f>
        <v>14.222668882080091</v>
      </c>
      <c r="E77" s="9"/>
    </row>
    <row r="78" spans="2:13">
      <c r="B78" s="95" t="s">
        <v>134</v>
      </c>
      <c r="C78" s="94" t="s">
        <v>1</v>
      </c>
      <c r="D78" s="96">
        <f>SUM(I53:P53)/1000 * 2</f>
        <v>23.945092589597998</v>
      </c>
      <c r="E78" s="10"/>
    </row>
    <row r="79" spans="2:13" ht="15.75" thickBot="1">
      <c r="B79" s="103" t="s">
        <v>132</v>
      </c>
      <c r="C79" s="104" t="s">
        <v>1</v>
      </c>
      <c r="D79" s="105">
        <f>D77+D78</f>
        <v>38.167761471678091</v>
      </c>
      <c r="E79" s="11"/>
    </row>
    <row r="80" spans="2:13">
      <c r="B80" s="34" t="s">
        <v>55</v>
      </c>
    </row>
    <row r="81" spans="2:2">
      <c r="B81" s="1" t="s">
        <v>53</v>
      </c>
    </row>
    <row r="82" spans="2:2">
      <c r="B82" s="31" t="s">
        <v>54</v>
      </c>
    </row>
    <row r="83" spans="2:2">
      <c r="B83" s="50" t="s">
        <v>93</v>
      </c>
    </row>
    <row r="84" spans="2:2">
      <c r="B84" s="60" t="s">
        <v>98</v>
      </c>
    </row>
    <row r="85" spans="2:2">
      <c r="B85" s="63" t="s">
        <v>114</v>
      </c>
    </row>
    <row r="86" spans="2:2">
      <c r="B86" s="79" t="s">
        <v>115</v>
      </c>
    </row>
  </sheetData>
  <conditionalFormatting sqref="R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3">
    <cfRule type="colorScale" priority="5">
      <colorScale>
        <cfvo type="min"/>
        <cfvo type="max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0:P1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5:P2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50:P50">
    <cfRule type="colorScale" priority="14">
      <colorScale>
        <cfvo type="min"/>
        <cfvo type="max"/>
        <color rgb="FFFCFCFF"/>
        <color rgb="FFF8696B"/>
      </colorScale>
    </cfRule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52:P52">
    <cfRule type="colorScale" priority="16">
      <colorScale>
        <cfvo type="min"/>
        <cfvo type="max"/>
        <color rgb="FFFCFCFF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53:P53">
    <cfRule type="colorScale" priority="18">
      <colorScale>
        <cfvo type="min"/>
        <cfvo type="max"/>
        <color rgb="FFFCFCFF"/>
        <color rgb="FFF8696B"/>
      </colorScale>
    </cfRule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:P1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2:P1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6:P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63BE7B"/>
        <color rgb="FFFFEF9C"/>
      </colorScale>
    </cfRule>
  </conditionalFormatting>
  <conditionalFormatting sqref="I20:P2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H53"/>
  <sheetViews>
    <sheetView workbookViewId="0">
      <selection activeCell="AG17" sqref="AG17"/>
    </sheetView>
  </sheetViews>
  <sheetFormatPr defaultRowHeight="15"/>
  <cols>
    <col min="2" max="2" width="11.140625" customWidth="1"/>
  </cols>
  <sheetData>
    <row r="1" spans="2:34">
      <c r="Y1">
        <v>0</v>
      </c>
      <c r="Z1">
        <f>Y1+5</f>
        <v>5</v>
      </c>
      <c r="AA1">
        <f t="shared" ref="AA1:AH1" si="0">Z1+5</f>
        <v>10</v>
      </c>
      <c r="AB1">
        <f t="shared" si="0"/>
        <v>15</v>
      </c>
      <c r="AC1">
        <f t="shared" si="0"/>
        <v>20</v>
      </c>
      <c r="AD1">
        <f t="shared" si="0"/>
        <v>25</v>
      </c>
      <c r="AE1">
        <f t="shared" si="0"/>
        <v>30</v>
      </c>
      <c r="AF1">
        <f t="shared" si="0"/>
        <v>35</v>
      </c>
      <c r="AG1">
        <f t="shared" si="0"/>
        <v>40</v>
      </c>
      <c r="AH1">
        <f t="shared" si="0"/>
        <v>45</v>
      </c>
    </row>
    <row r="3" spans="2:34" ht="42.75" customHeight="1">
      <c r="AC3" t="s">
        <v>68</v>
      </c>
      <c r="AD3" t="s">
        <v>69</v>
      </c>
    </row>
    <row r="4" spans="2:34">
      <c r="Z4" t="s">
        <v>65</v>
      </c>
      <c r="AA4" t="s">
        <v>2</v>
      </c>
      <c r="AB4" s="36" t="e">
        <f>#REF!</f>
        <v>#REF!</v>
      </c>
      <c r="AC4" s="16" t="e">
        <f>$G$26*AB5^2+$H$26*AB5+$I$26</f>
        <v>#REF!</v>
      </c>
      <c r="AD4" s="16" t="e">
        <f>$J$26*AB5^2+$K$26*AB5+$L$26</f>
        <v>#REF!</v>
      </c>
    </row>
    <row r="5" spans="2:34">
      <c r="Z5" t="s">
        <v>66</v>
      </c>
      <c r="AA5" t="s">
        <v>0</v>
      </c>
      <c r="AB5" s="37" t="e">
        <f>#REF!</f>
        <v>#REF!</v>
      </c>
      <c r="AC5" s="16" t="e">
        <f>$G$27*AB5^2+$H$27*AB5+$I$27</f>
        <v>#REF!</v>
      </c>
      <c r="AD5" s="16" t="e">
        <f>$J$27*AB5^2+$K$27*AB5+$L$27</f>
        <v>#REF!</v>
      </c>
    </row>
    <row r="6" spans="2:34">
      <c r="AC6" s="16" t="e">
        <f>$G$28*AB5^2+$H$28*AB5+$I$28</f>
        <v>#REF!</v>
      </c>
      <c r="AD6" s="16" t="e">
        <f>$J$28*AB5^2+$K$28*AB5+$L$28</f>
        <v>#REF!</v>
      </c>
    </row>
    <row r="7" spans="2:34">
      <c r="AC7" s="39" t="e">
        <f>IF($AB$4&lt;=F27,AC4+($AB$4-$F$26)/($F$27-$F$26)*(AC5-AC4),AC5+($AB$4-$F$27)/($F$28-$F$27)*(AC6-AC5))</f>
        <v>#REF!</v>
      </c>
      <c r="AD7" s="39" t="e">
        <f>IF($AB$4&lt;=G27,AD4+($AB$4-$F$26)/($F$27-$F$26)*(AD5-AD4),AD5+($AB$4-$F$27)/($F$28-$F$27)*(AD6-AD5))</f>
        <v>#REF!</v>
      </c>
    </row>
    <row r="8" spans="2:34" ht="14.25" customHeight="1">
      <c r="AB8" s="16"/>
      <c r="AD8" s="37" t="e">
        <f>IF(AB5&lt;=470,AC7,AD7)</f>
        <v>#REF!</v>
      </c>
    </row>
    <row r="9" spans="2:34">
      <c r="Z9" t="s">
        <v>65</v>
      </c>
      <c r="AA9" t="s">
        <v>2</v>
      </c>
      <c r="AB9" s="36" t="e">
        <f>#REF!</f>
        <v>#REF!</v>
      </c>
      <c r="AC9" s="16" t="e">
        <f>$G$26*AB10^2+$H$26*AB10+$I$26</f>
        <v>#REF!</v>
      </c>
      <c r="AD9" s="16" t="e">
        <f>$J$26*AB10^2+$K$26*AB10+$L$26</f>
        <v>#REF!</v>
      </c>
    </row>
    <row r="10" spans="2:34">
      <c r="Z10" t="s">
        <v>66</v>
      </c>
      <c r="AA10" t="s">
        <v>0</v>
      </c>
      <c r="AB10" s="37" t="e">
        <f>#REF!</f>
        <v>#REF!</v>
      </c>
      <c r="AC10" s="16" t="e">
        <f>$G$27*AB10^2+$H$27*AB10+$I$27</f>
        <v>#REF!</v>
      </c>
      <c r="AD10" s="16" t="e">
        <f>$J$27*AB10^2+$K$27*AB10+$L$27</f>
        <v>#REF!</v>
      </c>
    </row>
    <row r="11" spans="2:34">
      <c r="C11" s="35" t="s">
        <v>57</v>
      </c>
      <c r="D11" s="35" t="s">
        <v>56</v>
      </c>
      <c r="AC11" s="16" t="e">
        <f>$G$28*AB10^2+$H$28*AB10+$I$28</f>
        <v>#REF!</v>
      </c>
      <c r="AD11" s="16" t="e">
        <f>$J$28*AB10^2+$K$28*AB10+$L$28</f>
        <v>#REF!</v>
      </c>
    </row>
    <row r="12" spans="2:34" ht="14.25" customHeight="1">
      <c r="B12" s="167" t="s">
        <v>59</v>
      </c>
      <c r="C12" s="35">
        <v>290</v>
      </c>
      <c r="D12" s="35">
        <v>325</v>
      </c>
      <c r="AC12" s="39" t="e">
        <f>IF($AB$4&lt;=F33,AC9+($AB$4-$F$26)/($F$27-$F$26)*(AC10-AC9),AC10+($AB$4-$F$27)/($F$28-$F$27)*(AC11-AC10))</f>
        <v>#REF!</v>
      </c>
      <c r="AD12" s="39" t="e">
        <f>IF($AB$4&lt;=G33,AD9+($AB$4-$F$26)/($F$27-$F$26)*(AD10-AD9),AD10+($AB$4-$F$27)/($F$28-$F$27)*(AD11-AD10))</f>
        <v>#REF!</v>
      </c>
    </row>
    <row r="13" spans="2:34">
      <c r="B13" s="168"/>
      <c r="C13" s="35">
        <v>355</v>
      </c>
      <c r="D13" s="35">
        <v>400</v>
      </c>
      <c r="AD13" s="37" t="e">
        <f>IF(AB10&lt;=470,AC12,AD12)</f>
        <v>#REF!</v>
      </c>
    </row>
    <row r="14" spans="2:34">
      <c r="B14" s="168"/>
      <c r="C14" s="35">
        <v>470</v>
      </c>
      <c r="D14" s="35">
        <v>490</v>
      </c>
      <c r="Z14" t="s">
        <v>65</v>
      </c>
      <c r="AA14" t="s">
        <v>2</v>
      </c>
      <c r="AB14" s="36" t="e">
        <f>#REF!</f>
        <v>#REF!</v>
      </c>
      <c r="AC14" s="16" t="e">
        <f>$G$26*AB15^2+$H$26*AB15+$I$26</f>
        <v>#REF!</v>
      </c>
      <c r="AD14" s="16" t="e">
        <f>$J$26*AB15^2+$K$26*AB15+$L$26</f>
        <v>#REF!</v>
      </c>
    </row>
    <row r="15" spans="2:34">
      <c r="B15" s="168"/>
      <c r="C15" s="35">
        <v>525</v>
      </c>
      <c r="D15" s="35">
        <v>450</v>
      </c>
      <c r="Z15" t="s">
        <v>66</v>
      </c>
      <c r="AA15" t="s">
        <v>0</v>
      </c>
      <c r="AB15" s="37" t="e">
        <f>#REF!</f>
        <v>#REF!</v>
      </c>
      <c r="AC15" s="16" t="e">
        <f>$G$27*AB15^2+$H$27*AB15+$I$27</f>
        <v>#REF!</v>
      </c>
      <c r="AD15" s="16" t="e">
        <f>$J$27*AB15^2+$K$27*AB15+$L$27</f>
        <v>#REF!</v>
      </c>
    </row>
    <row r="16" spans="2:34">
      <c r="B16" s="169"/>
      <c r="C16" s="35">
        <v>565</v>
      </c>
      <c r="D16" s="35">
        <v>400</v>
      </c>
      <c r="AC16" s="16" t="e">
        <f>$G$28*AB15^2+$H$28*AB15+$I$28</f>
        <v>#REF!</v>
      </c>
      <c r="AD16" s="16" t="e">
        <f>$J$28*AB15^2+$K$28*AB15+$L$28</f>
        <v>#REF!</v>
      </c>
    </row>
    <row r="17" spans="2:30" ht="14.25" customHeight="1">
      <c r="B17" s="167" t="s">
        <v>58</v>
      </c>
      <c r="C17" s="35">
        <v>290</v>
      </c>
      <c r="D17" s="35">
        <v>655</v>
      </c>
      <c r="AC17" s="39" t="e">
        <f>IF($AB$4&lt;=F39,AC14+($AB$4-$F$26)/($F$27-$F$26)*(AC15-AC14),AC15+($AB$4-$F$27)/($F$28-$F$27)*(AC16-AC15))</f>
        <v>#REF!</v>
      </c>
      <c r="AD17" s="39" t="e">
        <f>IF($AB$4&lt;=G39,AD14+($AB$4-$F$26)/($F$27-$F$26)*(AD15-AD14),AD15+($AB$4-$F$27)/($F$28-$F$27)*(AD16-AD15))</f>
        <v>#REF!</v>
      </c>
    </row>
    <row r="18" spans="2:30">
      <c r="B18" s="168"/>
      <c r="C18" s="35">
        <v>385</v>
      </c>
      <c r="D18" s="35">
        <v>800</v>
      </c>
      <c r="AD18" s="37" t="e">
        <f>IF(AB15&lt;=470,AC17,AD17)</f>
        <v>#REF!</v>
      </c>
    </row>
    <row r="19" spans="2:30">
      <c r="B19" s="168"/>
      <c r="C19" s="35">
        <v>470</v>
      </c>
      <c r="D19" s="35">
        <v>890</v>
      </c>
      <c r="Z19" t="s">
        <v>65</v>
      </c>
      <c r="AA19" t="s">
        <v>2</v>
      </c>
      <c r="AB19" s="36" t="e">
        <f>#REF!</f>
        <v>#REF!</v>
      </c>
      <c r="AC19" s="16" t="e">
        <f>$G$26*AB20^2+$H$26*AB20+$I$26</f>
        <v>#REF!</v>
      </c>
      <c r="AD19" s="16" t="e">
        <f>$J$26*AB20^2+$K$26*AB20+$L$26</f>
        <v>#REF!</v>
      </c>
    </row>
    <row r="20" spans="2:30">
      <c r="B20" s="168"/>
      <c r="C20" s="35">
        <v>525</v>
      </c>
      <c r="D20" s="35">
        <v>820</v>
      </c>
      <c r="Z20" t="s">
        <v>66</v>
      </c>
      <c r="AA20" t="s">
        <v>0</v>
      </c>
      <c r="AB20" s="37" t="e">
        <f>#REF!</f>
        <v>#REF!</v>
      </c>
      <c r="AC20" s="16" t="e">
        <f>$G$27*AB20^2+$H$27*AB20+$I$27</f>
        <v>#REF!</v>
      </c>
      <c r="AD20" s="16" t="e">
        <f>$J$27*AB20^2+$K$27*AB20+$L$27</f>
        <v>#REF!</v>
      </c>
    </row>
    <row r="21" spans="2:30">
      <c r="B21" s="169"/>
      <c r="C21" s="35">
        <v>565</v>
      </c>
      <c r="D21" s="35">
        <v>750</v>
      </c>
      <c r="AC21" s="16" t="e">
        <f>$G$28*AB20^2+$H$28*AB20+$I$28</f>
        <v>#REF!</v>
      </c>
      <c r="AD21" s="16" t="e">
        <f>$J$28*AB20^2+$K$28*AB20+$L$28</f>
        <v>#REF!</v>
      </c>
    </row>
    <row r="22" spans="2:30">
      <c r="B22" s="170" t="s">
        <v>60</v>
      </c>
      <c r="C22" s="35">
        <v>290</v>
      </c>
      <c r="D22" s="35">
        <v>900</v>
      </c>
      <c r="AC22" s="39" t="e">
        <f>IF($AB$4&lt;=F45,AC19+($AB$4-$F$26)/($F$27-$F$26)*(AC20-AC19),AC20+($AB$4-$F$27)/($F$28-$F$27)*(AC21-AC20))</f>
        <v>#REF!</v>
      </c>
      <c r="AD22" s="39" t="e">
        <f>IF($AB$4&lt;=G45,AD19+($AB$4-$F$26)/($F$27-$F$26)*(AD20-AD19),AD20+($AB$4-$F$27)/($F$28-$F$27)*(AD21-AD20))</f>
        <v>#REF!</v>
      </c>
    </row>
    <row r="23" spans="2:30">
      <c r="B23" s="170"/>
      <c r="C23" s="35">
        <v>375</v>
      </c>
      <c r="D23" s="35">
        <v>1060</v>
      </c>
      <c r="AD23" s="37" t="e">
        <f>IF(AB20&lt;=470,AC22,AD22)</f>
        <v>#REF!</v>
      </c>
    </row>
    <row r="24" spans="2:30">
      <c r="B24" s="170"/>
      <c r="C24" s="35">
        <v>470</v>
      </c>
      <c r="D24" s="35">
        <v>1175</v>
      </c>
      <c r="G24" s="171" t="s">
        <v>64</v>
      </c>
      <c r="H24" s="171"/>
      <c r="I24" s="171"/>
      <c r="J24" s="172" t="s">
        <v>63</v>
      </c>
      <c r="K24" s="173"/>
      <c r="L24" s="174"/>
      <c r="Z24" t="s">
        <v>65</v>
      </c>
      <c r="AA24" t="s">
        <v>2</v>
      </c>
      <c r="AB24" s="36" t="e">
        <f>#REF!</f>
        <v>#REF!</v>
      </c>
      <c r="AC24" s="16" t="e">
        <f>$G$26*AB25^2+$H$26*AB25+$I$26</f>
        <v>#REF!</v>
      </c>
      <c r="AD24" s="16" t="e">
        <f>$J$26*AB25^2+$K$26*AB25+$L$26</f>
        <v>#REF!</v>
      </c>
    </row>
    <row r="25" spans="2:30">
      <c r="B25" s="170"/>
      <c r="C25" s="35">
        <v>525</v>
      </c>
      <c r="D25" s="35">
        <v>1080</v>
      </c>
      <c r="G25" s="35" t="s">
        <v>61</v>
      </c>
      <c r="H25" s="35" t="s">
        <v>62</v>
      </c>
      <c r="I25" s="35" t="s">
        <v>0</v>
      </c>
      <c r="J25" s="35" t="s">
        <v>61</v>
      </c>
      <c r="K25" s="35" t="s">
        <v>62</v>
      </c>
      <c r="L25" s="35" t="s">
        <v>0</v>
      </c>
      <c r="Z25" t="s">
        <v>66</v>
      </c>
      <c r="AA25" t="s">
        <v>0</v>
      </c>
      <c r="AB25" s="37" t="e">
        <f>#REF!</f>
        <v>#REF!</v>
      </c>
      <c r="AC25" s="16" t="e">
        <f>$G$27*AB25^2+$H$27*AB25+$I$27</f>
        <v>#REF!</v>
      </c>
      <c r="AD25" s="16" t="e">
        <f>$J$27*AB25^2+$K$27*AB25+$L$27</f>
        <v>#REF!</v>
      </c>
    </row>
    <row r="26" spans="2:30">
      <c r="B26" s="170"/>
      <c r="C26" s="35">
        <v>565</v>
      </c>
      <c r="D26" s="35">
        <v>1000</v>
      </c>
      <c r="F26">
        <v>1.7</v>
      </c>
      <c r="G26" s="35">
        <v>-2.0999999999999999E-3</v>
      </c>
      <c r="H26" s="35">
        <v>2.4841000000000002</v>
      </c>
      <c r="I26" s="35">
        <v>-221.94</v>
      </c>
      <c r="J26" s="35">
        <v>-5.4999999999999997E-3</v>
      </c>
      <c r="K26" s="35">
        <v>4.7476000000000003</v>
      </c>
      <c r="L26" s="35">
        <v>-525.9</v>
      </c>
      <c r="AC26" s="16" t="e">
        <f>$G$28*AB25^2+$H$28*AB25+$I$28</f>
        <v>#REF!</v>
      </c>
      <c r="AD26" s="16" t="e">
        <f>$J$28*AB25^2+$K$28*AB25+$L$28</f>
        <v>#REF!</v>
      </c>
    </row>
    <row r="27" spans="2:30">
      <c r="F27">
        <v>5</v>
      </c>
      <c r="G27" s="35">
        <v>-2.5999999999999999E-3</v>
      </c>
      <c r="H27" s="35">
        <v>3.2793999999999999</v>
      </c>
      <c r="I27" s="35">
        <v>-77.606999999999999</v>
      </c>
      <c r="J27" s="35">
        <v>-5.0000000000000001E-3</v>
      </c>
      <c r="K27" s="35">
        <v>3.7261000000000002</v>
      </c>
      <c r="L27" s="35">
        <v>248.53</v>
      </c>
      <c r="AC27" s="39" t="e">
        <f>IF($AB$4&lt;=F51,AC24+($AB$4-$F$26)/($F$27-$F$26)*(AC25-AC24),AC25+($AB$4-$F$27)/($F$28-$F$27)*(AC26-AC25))</f>
        <v>#REF!</v>
      </c>
      <c r="AD27" s="39" t="e">
        <f>IF($AB$4&lt;=G51,AD24+($AB$4-$F$26)/($F$27-$F$26)*(AD25-AD24),AD25+($AB$4-$F$27)/($F$28-$F$27)*(AD26-AD25))</f>
        <v>#REF!</v>
      </c>
    </row>
    <row r="28" spans="2:30">
      <c r="F28">
        <v>10</v>
      </c>
      <c r="G28" s="35">
        <v>-3.7000000000000002E-3</v>
      </c>
      <c r="H28" s="35">
        <v>4.3643999999999998</v>
      </c>
      <c r="I28" s="35">
        <v>-51.777999999999999</v>
      </c>
      <c r="J28" s="35">
        <v>-2.8999999999999998E-3</v>
      </c>
      <c r="K28" s="35">
        <v>1.1292</v>
      </c>
      <c r="L28" s="35">
        <v>1278.4000000000001</v>
      </c>
      <c r="AD28" s="37" t="e">
        <f>IF(AB25&lt;=470,AC27,AD27)</f>
        <v>#REF!</v>
      </c>
    </row>
    <row r="29" spans="2:30">
      <c r="Z29" t="s">
        <v>65</v>
      </c>
      <c r="AA29" t="s">
        <v>2</v>
      </c>
      <c r="AB29" s="36" t="e">
        <f>#REF!</f>
        <v>#REF!</v>
      </c>
      <c r="AC29" s="16" t="e">
        <f>$G$26*AB30^2+$H$26*AB30+$I$26</f>
        <v>#REF!</v>
      </c>
      <c r="AD29" s="16" t="e">
        <f>$J$26*AB30^2+$K$26*AB30+$L$26</f>
        <v>#REF!</v>
      </c>
    </row>
    <row r="30" spans="2:30">
      <c r="Z30" t="s">
        <v>66</v>
      </c>
      <c r="AA30" t="s">
        <v>0</v>
      </c>
      <c r="AB30" s="37" t="e">
        <f>#REF!</f>
        <v>#REF!</v>
      </c>
      <c r="AC30" s="16" t="e">
        <f>$G$27*AB30^2+$H$27*AB30+$I$27</f>
        <v>#REF!</v>
      </c>
      <c r="AD30" s="16" t="e">
        <f>$J$27*AB30^2+$K$27*AB30+$L$27</f>
        <v>#REF!</v>
      </c>
    </row>
    <row r="31" spans="2:30">
      <c r="P31" s="7"/>
      <c r="AC31" s="16" t="e">
        <f>$G$28*AB30^2+$H$28*AB30+$I$28</f>
        <v>#REF!</v>
      </c>
      <c r="AD31" s="16" t="e">
        <f>$J$28*AB30^2+$K$28*AB30+$L$28</f>
        <v>#REF!</v>
      </c>
    </row>
    <row r="32" spans="2:30">
      <c r="Q32" s="16"/>
      <c r="AC32" s="39" t="e">
        <f>IF($AB$4&lt;=F57,AC29+($AB$4-$F$26)/($F$27-$F$26)*(AC30-AC29),AC30+($AB$4-$F$27)/($F$28-$F$27)*(AC31-AC30))</f>
        <v>#REF!</v>
      </c>
      <c r="AD32" s="39" t="e">
        <f>IF($AB$4&lt;=G57,AD29+($AB$4-$F$26)/($F$27-$F$26)*(AD30-AD29),AD30+($AB$4-$F$27)/($F$28-$F$27)*(AD31-AD30))</f>
        <v>#REF!</v>
      </c>
    </row>
    <row r="33" spans="16:30">
      <c r="P33" s="38"/>
      <c r="AD33" s="37" t="e">
        <f>IF(AB30&lt;=470,AC32,AD32)</f>
        <v>#REF!</v>
      </c>
    </row>
    <row r="34" spans="16:30">
      <c r="Z34" t="s">
        <v>65</v>
      </c>
      <c r="AA34" t="s">
        <v>2</v>
      </c>
      <c r="AB34" s="36" t="e">
        <f>#REF!</f>
        <v>#REF!</v>
      </c>
      <c r="AC34" s="16" t="e">
        <f>$G$26*AB35^2+$H$26*AB35+$I$26</f>
        <v>#REF!</v>
      </c>
      <c r="AD34" s="16" t="e">
        <f>$J$26*AB35^2+$K$26*AB35+$L$26</f>
        <v>#REF!</v>
      </c>
    </row>
    <row r="35" spans="16:30">
      <c r="Z35" t="s">
        <v>66</v>
      </c>
      <c r="AA35" t="s">
        <v>0</v>
      </c>
      <c r="AB35" s="37" t="e">
        <f>#REF!</f>
        <v>#REF!</v>
      </c>
      <c r="AC35" s="16" t="e">
        <f>$G$27*AB35^2+$H$27*AB35+$I$27</f>
        <v>#REF!</v>
      </c>
      <c r="AD35" s="16" t="e">
        <f>$J$27*AB35^2+$K$27*AB35+$L$27</f>
        <v>#REF!</v>
      </c>
    </row>
    <row r="36" spans="16:30">
      <c r="AC36" s="16" t="e">
        <f>$G$28*AB35^2+$H$28*AB35+$I$28</f>
        <v>#REF!</v>
      </c>
      <c r="AD36" s="16" t="e">
        <f>$J$28*AB35^2+$K$28*AB35+$L$28</f>
        <v>#REF!</v>
      </c>
    </row>
    <row r="37" spans="16:30">
      <c r="AC37" s="39" t="e">
        <f>IF($AB$4&lt;=F63,AC34+($AB$4-$F$26)/($F$27-$F$26)*(AC35-AC34),AC35+($AB$4-$F$27)/($F$28-$F$27)*(AC36-AC35))</f>
        <v>#REF!</v>
      </c>
      <c r="AD37" s="39" t="e">
        <f>IF($AB$4&lt;=G63,AD34+($AB$4-$F$26)/($F$27-$F$26)*(AD35-AD34),AD35+($AB$4-$F$27)/($F$28-$F$27)*(AD36-AD35))</f>
        <v>#REF!</v>
      </c>
    </row>
    <row r="38" spans="16:30">
      <c r="AD38" s="37" t="e">
        <f>IF(AB35&lt;=470,AC37,AD37)</f>
        <v>#REF!</v>
      </c>
    </row>
    <row r="39" spans="16:30">
      <c r="Z39" t="s">
        <v>65</v>
      </c>
      <c r="AA39" t="s">
        <v>2</v>
      </c>
      <c r="AB39" s="36" t="e">
        <f>#REF!</f>
        <v>#REF!</v>
      </c>
      <c r="AC39" s="16" t="e">
        <f>$G$26*AB40^2+$H$26*AB40+$I$26</f>
        <v>#REF!</v>
      </c>
      <c r="AD39" s="16" t="e">
        <f>$J$26*AB40^2+$K$26*AB40+$L$26</f>
        <v>#REF!</v>
      </c>
    </row>
    <row r="40" spans="16:30">
      <c r="Z40" t="s">
        <v>66</v>
      </c>
      <c r="AA40" t="s">
        <v>0</v>
      </c>
      <c r="AB40" s="37" t="e">
        <f>#REF!</f>
        <v>#REF!</v>
      </c>
      <c r="AC40" s="16" t="e">
        <f>$G$27*AB40^2+$H$27*AB40+$I$27</f>
        <v>#REF!</v>
      </c>
      <c r="AD40" s="16" t="e">
        <f>$J$27*AB40^2+$K$27*AB40+$L$27</f>
        <v>#REF!</v>
      </c>
    </row>
    <row r="41" spans="16:30">
      <c r="AC41" s="16" t="e">
        <f>$G$28*AB40^2+$H$28*AB40+$I$28</f>
        <v>#REF!</v>
      </c>
      <c r="AD41" s="16" t="e">
        <f>$J$28*AB40^2+$K$28*AB40+$L$28</f>
        <v>#REF!</v>
      </c>
    </row>
    <row r="42" spans="16:30">
      <c r="AC42" s="39" t="e">
        <f>IF($AB$4&lt;=F69,AC39+($AB$4-$F$26)/($F$27-$F$26)*(AC40-AC39),AC40+($AB$4-$F$27)/($F$28-$F$27)*(AC41-AC40))</f>
        <v>#REF!</v>
      </c>
      <c r="AD42" s="39" t="e">
        <f>IF($AB$4&lt;=G69,AD39+($AB$4-$F$26)/($F$27-$F$26)*(AD40-AD39),AD40+($AB$4-$F$27)/($F$28-$F$27)*(AD41-AD40))</f>
        <v>#REF!</v>
      </c>
    </row>
    <row r="43" spans="16:30">
      <c r="AD43" s="37" t="e">
        <f>IF(AB40&lt;=470,AC42,AD42)</f>
        <v>#REF!</v>
      </c>
    </row>
    <row r="44" spans="16:30">
      <c r="Z44" t="s">
        <v>65</v>
      </c>
      <c r="AA44" t="s">
        <v>2</v>
      </c>
      <c r="AB44" s="36" t="e">
        <f>#REF!</f>
        <v>#REF!</v>
      </c>
      <c r="AC44" s="16" t="e">
        <f>$G$26*AB45^2+$H$26*AB45+$I$26</f>
        <v>#REF!</v>
      </c>
      <c r="AD44" s="16" t="e">
        <f>$J$26*AB45^2+$K$26*AB45+$L$26</f>
        <v>#REF!</v>
      </c>
    </row>
    <row r="45" spans="16:30">
      <c r="Z45" t="s">
        <v>66</v>
      </c>
      <c r="AA45" t="s">
        <v>0</v>
      </c>
      <c r="AB45" s="37" t="e">
        <f>#REF!</f>
        <v>#REF!</v>
      </c>
      <c r="AC45" s="16" t="e">
        <f>$G$27*AB45^2+$H$27*AB45+$I$27</f>
        <v>#REF!</v>
      </c>
      <c r="AD45" s="16" t="e">
        <f>$J$27*AB45^2+$K$27*AB45+$L$27</f>
        <v>#REF!</v>
      </c>
    </row>
    <row r="46" spans="16:30">
      <c r="AC46" s="16" t="e">
        <f>$G$28*AB45^2+$H$28*AB45+$I$28</f>
        <v>#REF!</v>
      </c>
      <c r="AD46" s="16" t="e">
        <f>$J$28*AB45^2+$K$28*AB45+$L$28</f>
        <v>#REF!</v>
      </c>
    </row>
    <row r="47" spans="16:30">
      <c r="AC47" s="39" t="e">
        <f>IF($AB$4&lt;=F75,AC44+($AB$4-$F$26)/($F$27-$F$26)*(AC45-AC44),AC45+($AB$4-$F$27)/($F$28-$F$27)*(AC46-AC45))</f>
        <v>#REF!</v>
      </c>
      <c r="AD47" s="39" t="e">
        <f>IF($AB$4&lt;=G75,AD44+($AB$4-$F$26)/($F$27-$F$26)*(AD45-AD44),AD45+($AB$4-$F$27)/($F$28-$F$27)*(AD46-AD45))</f>
        <v>#REF!</v>
      </c>
    </row>
    <row r="48" spans="16:30">
      <c r="AD48" s="37" t="e">
        <f>IF(AB45&lt;=470,AC47,AD47)</f>
        <v>#REF!</v>
      </c>
    </row>
    <row r="49" spans="26:30">
      <c r="Z49" t="s">
        <v>65</v>
      </c>
      <c r="AA49" t="s">
        <v>2</v>
      </c>
      <c r="AB49" s="36" t="e">
        <f>#REF!</f>
        <v>#REF!</v>
      </c>
      <c r="AC49" s="16" t="e">
        <f>$G$26*AB50^2+$H$26*AB50+$I$26</f>
        <v>#REF!</v>
      </c>
      <c r="AD49" s="16" t="e">
        <f>$J$26*AB50^2+$K$26*AB50+$L$26</f>
        <v>#REF!</v>
      </c>
    </row>
    <row r="50" spans="26:30">
      <c r="Z50" t="s">
        <v>66</v>
      </c>
      <c r="AA50" t="s">
        <v>0</v>
      </c>
      <c r="AB50" s="37" t="e">
        <f>#REF!</f>
        <v>#REF!</v>
      </c>
      <c r="AC50" s="16" t="e">
        <f>$G$27*AB50^2+$H$27*AB50+$I$27</f>
        <v>#REF!</v>
      </c>
      <c r="AD50" s="16" t="e">
        <f>$J$27*AB50^2+$K$27*AB50+$L$27</f>
        <v>#REF!</v>
      </c>
    </row>
    <row r="51" spans="26:30">
      <c r="AC51" s="16" t="e">
        <f>$G$28*AB50^2+$H$28*AB50+$I$28</f>
        <v>#REF!</v>
      </c>
      <c r="AD51" s="16" t="e">
        <f>$J$28*AB50^2+$K$28*AB50+$L$28</f>
        <v>#REF!</v>
      </c>
    </row>
    <row r="52" spans="26:30">
      <c r="AC52" s="39" t="e">
        <f>IF($AB$4&lt;=F81,AC49+($AB$4-$F$26)/($F$27-$F$26)*(AC50-AC49),AC50+($AB$4-$F$27)/($F$28-$F$27)*(AC51-AC50))</f>
        <v>#REF!</v>
      </c>
      <c r="AD52" s="39" t="e">
        <f>IF($AB$4&lt;=G81,AD49+($AB$4-$F$26)/($F$27-$F$26)*(AD50-AD49),AD50+($AB$4-$F$27)/($F$28-$F$27)*(AD51-AD50))</f>
        <v>#REF!</v>
      </c>
    </row>
    <row r="53" spans="26:30">
      <c r="AD53" s="37" t="e">
        <f>IF(AB50&lt;=470,AC52,AD52)</f>
        <v>#REF!</v>
      </c>
    </row>
  </sheetData>
  <mergeCells count="5">
    <mergeCell ref="B12:B16"/>
    <mergeCell ref="B17:B21"/>
    <mergeCell ref="B22:B26"/>
    <mergeCell ref="G24:I24"/>
    <mergeCell ref="J24:L2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F44"/>
  <sheetViews>
    <sheetView workbookViewId="0">
      <selection activeCell="B22" sqref="B22"/>
    </sheetView>
  </sheetViews>
  <sheetFormatPr defaultColWidth="9.140625" defaultRowHeight="12.75"/>
  <cols>
    <col min="1" max="16384" width="9.140625" style="51"/>
  </cols>
  <sheetData>
    <row r="1" spans="2:6" ht="13.5" thickBot="1"/>
    <row r="2" spans="2:6" ht="13.5" thickBot="1">
      <c r="B2" s="175" t="s">
        <v>78</v>
      </c>
      <c r="C2" s="176"/>
      <c r="D2" s="176"/>
      <c r="E2" s="176"/>
      <c r="F2" s="177"/>
    </row>
    <row r="4" spans="2:6">
      <c r="B4" s="178" t="s">
        <v>86</v>
      </c>
      <c r="C4" s="179"/>
      <c r="E4" s="178" t="s">
        <v>87</v>
      </c>
      <c r="F4" s="179"/>
    </row>
    <row r="5" spans="2:6">
      <c r="B5" s="52"/>
      <c r="C5" s="53"/>
      <c r="E5" s="52"/>
      <c r="F5" s="53"/>
    </row>
    <row r="6" spans="2:6">
      <c r="B6" s="54" t="s">
        <v>88</v>
      </c>
      <c r="C6" s="55" t="s">
        <v>89</v>
      </c>
      <c r="E6" s="54" t="s">
        <v>88</v>
      </c>
      <c r="F6" s="55" t="s">
        <v>89</v>
      </c>
    </row>
    <row r="7" spans="2:6">
      <c r="B7" s="54" t="s">
        <v>73</v>
      </c>
      <c r="C7" s="55" t="s">
        <v>74</v>
      </c>
      <c r="E7" s="54" t="s">
        <v>73</v>
      </c>
      <c r="F7" s="55" t="s">
        <v>74</v>
      </c>
    </row>
    <row r="8" spans="2:6">
      <c r="B8" s="54">
        <v>20</v>
      </c>
      <c r="C8" s="55">
        <v>13.4</v>
      </c>
      <c r="E8" s="54">
        <v>20</v>
      </c>
      <c r="F8" s="55">
        <v>9.7899999999999991</v>
      </c>
    </row>
    <row r="9" spans="2:6">
      <c r="B9" s="54">
        <v>100</v>
      </c>
      <c r="C9" s="55">
        <v>14.7</v>
      </c>
      <c r="E9" s="54">
        <v>40</v>
      </c>
      <c r="F9" s="55">
        <v>10.077999999999999</v>
      </c>
    </row>
    <row r="10" spans="2:6">
      <c r="B10" s="54">
        <v>200</v>
      </c>
      <c r="C10" s="55">
        <v>16.2</v>
      </c>
      <c r="E10" s="54">
        <v>60</v>
      </c>
      <c r="F10" s="55">
        <v>10.365</v>
      </c>
    </row>
    <row r="11" spans="2:6">
      <c r="B11" s="54">
        <v>300</v>
      </c>
      <c r="C11" s="55">
        <v>17.8</v>
      </c>
      <c r="E11" s="54">
        <v>80</v>
      </c>
      <c r="F11" s="55">
        <v>10.653</v>
      </c>
    </row>
    <row r="12" spans="2:6">
      <c r="B12" s="54">
        <v>400</v>
      </c>
      <c r="C12" s="55">
        <v>19.3</v>
      </c>
      <c r="E12" s="54">
        <v>100</v>
      </c>
      <c r="F12" s="55">
        <v>10.94</v>
      </c>
    </row>
    <row r="13" spans="2:6">
      <c r="B13" s="54">
        <v>450</v>
      </c>
      <c r="C13" s="55">
        <v>20.100000000000001</v>
      </c>
      <c r="E13" s="54">
        <v>120</v>
      </c>
      <c r="F13" s="55">
        <v>11.231999999999999</v>
      </c>
    </row>
    <row r="14" spans="2:6">
      <c r="B14" s="54">
        <v>500</v>
      </c>
      <c r="C14" s="55">
        <v>20.9</v>
      </c>
      <c r="E14" s="54">
        <v>140</v>
      </c>
      <c r="F14" s="55">
        <v>11.523999999999999</v>
      </c>
    </row>
    <row r="15" spans="2:6">
      <c r="B15" s="54">
        <v>550</v>
      </c>
      <c r="C15" s="55">
        <v>21.6</v>
      </c>
      <c r="E15" s="54">
        <v>160</v>
      </c>
      <c r="F15" s="55">
        <v>11.816000000000001</v>
      </c>
    </row>
    <row r="16" spans="2:6">
      <c r="B16" s="54">
        <v>600</v>
      </c>
      <c r="C16" s="55">
        <v>22.4</v>
      </c>
      <c r="E16" s="54">
        <v>180</v>
      </c>
      <c r="F16" s="55">
        <v>12.108000000000001</v>
      </c>
    </row>
    <row r="17" spans="2:6">
      <c r="B17" s="54">
        <v>650</v>
      </c>
      <c r="C17" s="55">
        <v>23.2</v>
      </c>
      <c r="E17" s="54">
        <v>200</v>
      </c>
      <c r="F17" s="55">
        <v>12.4</v>
      </c>
    </row>
    <row r="18" spans="2:6">
      <c r="B18" s="56">
        <v>700</v>
      </c>
      <c r="C18" s="57">
        <v>24</v>
      </c>
      <c r="E18" s="54">
        <v>220</v>
      </c>
      <c r="F18" s="55">
        <v>12.694000000000001</v>
      </c>
    </row>
    <row r="19" spans="2:6">
      <c r="E19" s="54">
        <v>240</v>
      </c>
      <c r="F19" s="55">
        <v>12.988</v>
      </c>
    </row>
    <row r="20" spans="2:6">
      <c r="E20" s="54">
        <v>260</v>
      </c>
      <c r="F20" s="55">
        <v>13.282</v>
      </c>
    </row>
    <row r="21" spans="2:6">
      <c r="E21" s="54">
        <v>280</v>
      </c>
      <c r="F21" s="55">
        <v>13.576000000000001</v>
      </c>
    </row>
    <row r="22" spans="2:6">
      <c r="E22" s="54">
        <v>300</v>
      </c>
      <c r="F22" s="55">
        <v>13.87</v>
      </c>
    </row>
    <row r="23" spans="2:6">
      <c r="E23" s="54">
        <v>320</v>
      </c>
      <c r="F23" s="55">
        <v>14.166</v>
      </c>
    </row>
    <row r="24" spans="2:6">
      <c r="E24" s="54">
        <v>340</v>
      </c>
      <c r="F24" s="55">
        <v>14.462</v>
      </c>
    </row>
    <row r="25" spans="2:6">
      <c r="E25" s="54">
        <v>360</v>
      </c>
      <c r="F25" s="55">
        <v>14.757999999999999</v>
      </c>
    </row>
    <row r="26" spans="2:6">
      <c r="E26" s="54">
        <v>380</v>
      </c>
      <c r="F26" s="55">
        <v>15.054</v>
      </c>
    </row>
    <row r="27" spans="2:6">
      <c r="E27" s="54">
        <v>400</v>
      </c>
      <c r="F27" s="55">
        <v>15.35</v>
      </c>
    </row>
    <row r="28" spans="2:6">
      <c r="E28" s="54">
        <v>420</v>
      </c>
      <c r="F28" s="55">
        <v>15.648</v>
      </c>
    </row>
    <row r="29" spans="2:6">
      <c r="E29" s="54">
        <v>440</v>
      </c>
      <c r="F29" s="55">
        <v>15.946</v>
      </c>
    </row>
    <row r="30" spans="2:6">
      <c r="E30" s="54">
        <v>460</v>
      </c>
      <c r="F30" s="55">
        <v>16.244</v>
      </c>
    </row>
    <row r="31" spans="2:6">
      <c r="E31" s="54">
        <v>480</v>
      </c>
      <c r="F31" s="55">
        <v>16.542000000000002</v>
      </c>
    </row>
    <row r="32" spans="2:6">
      <c r="E32" s="54">
        <v>500</v>
      </c>
      <c r="F32" s="55">
        <v>16.84</v>
      </c>
    </row>
    <row r="33" spans="5:6">
      <c r="E33" s="54">
        <v>520</v>
      </c>
      <c r="F33" s="55">
        <v>17.135999999999999</v>
      </c>
    </row>
    <row r="34" spans="5:6">
      <c r="E34" s="54">
        <v>540</v>
      </c>
      <c r="F34" s="55">
        <v>17.431999999999999</v>
      </c>
    </row>
    <row r="35" spans="5:6">
      <c r="E35" s="54">
        <v>560</v>
      </c>
      <c r="F35" s="55">
        <v>17.731999999999999</v>
      </c>
    </row>
    <row r="36" spans="5:6">
      <c r="E36" s="54">
        <v>580</v>
      </c>
      <c r="F36" s="55">
        <v>18.036000000000001</v>
      </c>
    </row>
    <row r="37" spans="5:6">
      <c r="E37" s="54">
        <v>600</v>
      </c>
      <c r="F37" s="55">
        <v>18.34</v>
      </c>
    </row>
    <row r="38" spans="5:6">
      <c r="E38" s="54">
        <v>620</v>
      </c>
      <c r="F38" s="55">
        <v>18.64</v>
      </c>
    </row>
    <row r="39" spans="5:6">
      <c r="E39" s="54">
        <v>640</v>
      </c>
      <c r="F39" s="55">
        <v>18.940000000000001</v>
      </c>
    </row>
    <row r="40" spans="5:6">
      <c r="E40" s="54">
        <v>660</v>
      </c>
      <c r="F40" s="55">
        <v>19.242000000000001</v>
      </c>
    </row>
    <row r="41" spans="5:6">
      <c r="E41" s="54">
        <v>680</v>
      </c>
      <c r="F41" s="55">
        <v>19.545999999999999</v>
      </c>
    </row>
    <row r="42" spans="5:6">
      <c r="E42" s="54">
        <v>700</v>
      </c>
      <c r="F42" s="55">
        <v>19.850000000000001</v>
      </c>
    </row>
    <row r="43" spans="5:6">
      <c r="E43" s="54">
        <v>720</v>
      </c>
      <c r="F43" s="55">
        <v>20.154</v>
      </c>
    </row>
    <row r="44" spans="5:6">
      <c r="E44" s="56">
        <v>740</v>
      </c>
      <c r="F44" s="57">
        <v>20.457999999999998</v>
      </c>
    </row>
  </sheetData>
  <mergeCells count="3">
    <mergeCell ref="B2:F2"/>
    <mergeCell ref="B4:C4"/>
    <mergeCell ref="E4:F4"/>
  </mergeCells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4:Y84"/>
  <sheetViews>
    <sheetView zoomScale="70" zoomScaleNormal="70" workbookViewId="0">
      <selection activeCell="F35" sqref="F35"/>
    </sheetView>
  </sheetViews>
  <sheetFormatPr defaultRowHeight="15"/>
  <cols>
    <col min="2" max="2" width="27.5703125" bestFit="1" customWidth="1"/>
    <col min="3" max="4" width="9" customWidth="1"/>
    <col min="5" max="5" width="9.42578125" bestFit="1" customWidth="1"/>
    <col min="7" max="7" width="20.42578125" bestFit="1" customWidth="1"/>
    <col min="9" max="13" width="9.85546875" bestFit="1" customWidth="1"/>
    <col min="14" max="14" width="10" bestFit="1" customWidth="1"/>
  </cols>
  <sheetData>
    <row r="4" spans="2:16" ht="15.75" thickBot="1"/>
    <row r="5" spans="2:16">
      <c r="B5" s="17" t="s">
        <v>3</v>
      </c>
      <c r="C5" s="18" t="s">
        <v>0</v>
      </c>
      <c r="D5" s="32">
        <v>290</v>
      </c>
      <c r="E5" s="9"/>
      <c r="G5" s="35" t="s">
        <v>17</v>
      </c>
      <c r="H5" s="123" t="s">
        <v>12</v>
      </c>
      <c r="I5" s="83">
        <v>7.4</v>
      </c>
      <c r="J5" s="83">
        <v>7.4</v>
      </c>
      <c r="K5" s="83">
        <v>7.4</v>
      </c>
      <c r="L5" s="83">
        <v>7.4</v>
      </c>
      <c r="M5" s="83">
        <v>7.4</v>
      </c>
    </row>
    <row r="6" spans="2:16">
      <c r="B6" s="20" t="s">
        <v>4</v>
      </c>
      <c r="C6" s="21" t="s">
        <v>0</v>
      </c>
      <c r="D6" s="33">
        <v>565</v>
      </c>
      <c r="E6" s="10"/>
      <c r="G6" s="35" t="s">
        <v>21</v>
      </c>
      <c r="H6" s="123" t="s">
        <v>12</v>
      </c>
      <c r="I6" s="3">
        <f t="shared" ref="I6:M6" si="0">H</f>
        <v>19.5</v>
      </c>
      <c r="J6" s="3">
        <f t="shared" si="0"/>
        <v>19.5</v>
      </c>
      <c r="K6" s="3">
        <f t="shared" si="0"/>
        <v>19.5</v>
      </c>
      <c r="L6" s="3">
        <f t="shared" si="0"/>
        <v>19.5</v>
      </c>
      <c r="M6" s="3">
        <f t="shared" si="0"/>
        <v>19.5</v>
      </c>
    </row>
    <row r="7" spans="2:16">
      <c r="B7" s="23" t="s">
        <v>5</v>
      </c>
      <c r="C7" s="21" t="s">
        <v>0</v>
      </c>
      <c r="D7" s="21">
        <f>Th-Tc</f>
        <v>275</v>
      </c>
      <c r="E7" s="10"/>
      <c r="G7" s="35" t="s">
        <v>22</v>
      </c>
      <c r="H7" s="123" t="s">
        <v>13</v>
      </c>
      <c r="I7" s="3">
        <f>I5*I6</f>
        <v>144.30000000000001</v>
      </c>
      <c r="J7" s="3">
        <f t="shared" ref="J7:M7" si="1">J5*J6</f>
        <v>144.30000000000001</v>
      </c>
      <c r="K7" s="3">
        <f t="shared" si="1"/>
        <v>144.30000000000001</v>
      </c>
      <c r="L7" s="3">
        <f t="shared" si="1"/>
        <v>144.30000000000001</v>
      </c>
      <c r="M7" s="3">
        <f t="shared" si="1"/>
        <v>144.30000000000001</v>
      </c>
    </row>
    <row r="8" spans="2:16">
      <c r="B8" s="23" t="s">
        <v>138</v>
      </c>
      <c r="C8" s="21" t="s">
        <v>1</v>
      </c>
      <c r="D8" s="22">
        <v>650</v>
      </c>
      <c r="E8" s="10" t="s">
        <v>23</v>
      </c>
      <c r="G8" s="35" t="s">
        <v>119</v>
      </c>
      <c r="H8" s="123" t="s">
        <v>16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t="s">
        <v>23</v>
      </c>
    </row>
    <row r="9" spans="2:16">
      <c r="B9" s="23" t="s">
        <v>139</v>
      </c>
      <c r="C9" s="43" t="s">
        <v>49</v>
      </c>
      <c r="D9" s="107">
        <v>1</v>
      </c>
      <c r="E9" s="10" t="s">
        <v>145</v>
      </c>
      <c r="G9" s="35" t="s">
        <v>120</v>
      </c>
      <c r="H9" s="123" t="s">
        <v>35</v>
      </c>
      <c r="I9" s="40" t="e">
        <f>I8/MAX($I8:$M8)</f>
        <v>#DIV/0!</v>
      </c>
      <c r="J9" s="40" t="e">
        <f>J8/MAX($I8:$M8)</f>
        <v>#DIV/0!</v>
      </c>
      <c r="K9" s="40" t="e">
        <f>K8/MAX($I8:$M8)</f>
        <v>#DIV/0!</v>
      </c>
      <c r="L9" s="40" t="e">
        <f>L8/MAX($I8:$M8)</f>
        <v>#DIV/0!</v>
      </c>
      <c r="M9" s="40" t="e">
        <f>M8/MAX($I8:$M8)</f>
        <v>#DIV/0!</v>
      </c>
    </row>
    <row r="10" spans="2:16">
      <c r="B10" s="23" t="s">
        <v>6</v>
      </c>
      <c r="C10" s="21" t="s">
        <v>1</v>
      </c>
      <c r="D10" s="43">
        <f>D8*D9</f>
        <v>650</v>
      </c>
      <c r="E10" s="10"/>
      <c r="G10" s="35" t="s">
        <v>137</v>
      </c>
      <c r="H10" s="123" t="s">
        <v>16</v>
      </c>
      <c r="I10" s="6">
        <f>I8*77%</f>
        <v>0</v>
      </c>
      <c r="J10" s="6">
        <f t="shared" ref="J10:L10" si="2">J8*77%</f>
        <v>0</v>
      </c>
      <c r="K10" s="6">
        <f t="shared" si="2"/>
        <v>0</v>
      </c>
      <c r="L10" s="6">
        <f t="shared" si="2"/>
        <v>0</v>
      </c>
      <c r="M10" s="6">
        <f>M8*77%</f>
        <v>0</v>
      </c>
      <c r="N10" t="s">
        <v>23</v>
      </c>
      <c r="O10" t="s">
        <v>75</v>
      </c>
    </row>
    <row r="11" spans="2:16">
      <c r="B11" s="23" t="s">
        <v>140</v>
      </c>
      <c r="C11" s="21" t="s">
        <v>1</v>
      </c>
      <c r="D11" s="43">
        <f>D10/2</f>
        <v>325</v>
      </c>
      <c r="E11" s="10"/>
      <c r="G11" s="35" t="s">
        <v>143</v>
      </c>
      <c r="H11" s="123" t="s">
        <v>16</v>
      </c>
      <c r="I11" s="6">
        <f>I10*$D9</f>
        <v>0</v>
      </c>
      <c r="J11" s="6">
        <f t="shared" ref="J11:L11" si="3">J10*$D9</f>
        <v>0</v>
      </c>
      <c r="K11" s="6">
        <f t="shared" si="3"/>
        <v>0</v>
      </c>
      <c r="L11" s="6">
        <f t="shared" si="3"/>
        <v>0</v>
      </c>
      <c r="M11" s="6">
        <f>M10*$D9</f>
        <v>0</v>
      </c>
      <c r="O11" s="44">
        <f>AVERAGE(I11:M11)</f>
        <v>0</v>
      </c>
      <c r="P11" t="s">
        <v>16</v>
      </c>
    </row>
    <row r="12" spans="2:16">
      <c r="B12" s="23" t="s">
        <v>7</v>
      </c>
      <c r="C12" s="21" t="s">
        <v>9</v>
      </c>
      <c r="D12" s="24">
        <f>(1443+0.172*Tc)/1000</f>
        <v>1.4928800000000002</v>
      </c>
      <c r="E12" s="10"/>
      <c r="G12" s="35" t="s">
        <v>117</v>
      </c>
      <c r="H12" s="123" t="s">
        <v>1</v>
      </c>
      <c r="I12" s="3">
        <f>I11*I7/1000</f>
        <v>0</v>
      </c>
      <c r="J12" s="3">
        <f t="shared" ref="J12:M12" si="4">J11*J7/1000</f>
        <v>0</v>
      </c>
      <c r="K12" s="3">
        <f t="shared" si="4"/>
        <v>0</v>
      </c>
      <c r="L12" s="3">
        <f t="shared" si="4"/>
        <v>0</v>
      </c>
      <c r="M12" s="3">
        <f t="shared" si="4"/>
        <v>0</v>
      </c>
      <c r="N12" t="s">
        <v>67</v>
      </c>
      <c r="O12" s="64">
        <f>SUM(I12:M12)</f>
        <v>0</v>
      </c>
      <c r="P12" t="s">
        <v>1</v>
      </c>
    </row>
    <row r="13" spans="2:16">
      <c r="B13" s="23" t="s">
        <v>8</v>
      </c>
      <c r="C13" s="21" t="s">
        <v>9</v>
      </c>
      <c r="D13" s="24">
        <f>(1443+0.172*Th)/1000</f>
        <v>1.5401800000000001</v>
      </c>
      <c r="E13" s="10"/>
      <c r="G13" s="35" t="s">
        <v>33</v>
      </c>
      <c r="H13" s="123" t="s">
        <v>2</v>
      </c>
      <c r="I13" s="3">
        <f>HalfM</f>
        <v>779.29100104724716</v>
      </c>
      <c r="J13" s="3">
        <f>I13</f>
        <v>779.29100104724716</v>
      </c>
      <c r="K13" s="3">
        <f>J13</f>
        <v>779.29100104724716</v>
      </c>
      <c r="L13" s="3">
        <f>K13</f>
        <v>779.29100104724716</v>
      </c>
      <c r="M13" s="3">
        <f>L13</f>
        <v>779.29100104724716</v>
      </c>
    </row>
    <row r="14" spans="2:16">
      <c r="B14" s="23" t="s">
        <v>10</v>
      </c>
      <c r="C14" s="21" t="s">
        <v>9</v>
      </c>
      <c r="D14" s="24">
        <f>AVERAGE(D12:D13)</f>
        <v>1.5165300000000002</v>
      </c>
      <c r="E14" s="10"/>
      <c r="G14" s="35" t="s">
        <v>18</v>
      </c>
      <c r="H14" s="123" t="s">
        <v>0</v>
      </c>
      <c r="I14" s="86">
        <f>Tc</f>
        <v>290</v>
      </c>
      <c r="J14" s="3">
        <f>I18</f>
        <v>287.2013844514355</v>
      </c>
      <c r="K14" s="3">
        <f>J18</f>
        <v>284.43713930216751</v>
      </c>
      <c r="L14" s="3">
        <f>K18</f>
        <v>281.70643696133442</v>
      </c>
      <c r="M14" s="3">
        <f>L18</f>
        <v>279.00930926642917</v>
      </c>
      <c r="O14" s="84"/>
    </row>
    <row r="15" spans="2:16">
      <c r="B15" s="23" t="s">
        <v>141</v>
      </c>
      <c r="C15" s="21" t="s">
        <v>2</v>
      </c>
      <c r="D15" s="89">
        <f>D8*1000/(AvCp*DT)</f>
        <v>1558.5820020944943</v>
      </c>
      <c r="E15" s="10"/>
      <c r="G15" s="35" t="s">
        <v>24</v>
      </c>
      <c r="H15" s="123" t="s">
        <v>0</v>
      </c>
      <c r="I15" s="5">
        <f>I14-10</f>
        <v>280</v>
      </c>
      <c r="J15" s="5">
        <f t="shared" ref="J15:M15" si="5">J14-10</f>
        <v>277.2013844514355</v>
      </c>
      <c r="K15" s="5">
        <f t="shared" si="5"/>
        <v>274.43713930216751</v>
      </c>
      <c r="L15" s="5">
        <f t="shared" si="5"/>
        <v>271.70643696133442</v>
      </c>
      <c r="M15" s="5">
        <f t="shared" si="5"/>
        <v>269.00930926642917</v>
      </c>
    </row>
    <row r="16" spans="2:16">
      <c r="B16" s="23" t="s">
        <v>11</v>
      </c>
      <c r="C16" s="21" t="s">
        <v>2</v>
      </c>
      <c r="D16" s="89">
        <f>D10*1000/(AvCp*DT)</f>
        <v>1558.5820020944943</v>
      </c>
      <c r="E16" s="10"/>
      <c r="G16" s="35" t="s">
        <v>20</v>
      </c>
      <c r="H16" s="123" t="s">
        <v>0</v>
      </c>
      <c r="I16" s="3">
        <f>AVERAGE(I14:I15)</f>
        <v>285</v>
      </c>
      <c r="J16" s="3">
        <f>AVERAGE(J14:J15)</f>
        <v>282.2013844514355</v>
      </c>
      <c r="K16" s="3">
        <f>AVERAGE(K14:K15)</f>
        <v>279.43713930216751</v>
      </c>
      <c r="L16" s="3">
        <f t="shared" ref="L16:M16" si="6">AVERAGE(L14:L15)</f>
        <v>276.70643696133442</v>
      </c>
      <c r="M16" s="3">
        <f t="shared" si="6"/>
        <v>274.00930926642917</v>
      </c>
    </row>
    <row r="17" spans="2:25" ht="15.75" thickBot="1">
      <c r="B17" s="25" t="s">
        <v>122</v>
      </c>
      <c r="C17" s="26" t="s">
        <v>2</v>
      </c>
      <c r="D17" s="78">
        <f>Qtot*1000/(AvCp*DT)</f>
        <v>779.29100104724716</v>
      </c>
      <c r="E17" s="11"/>
      <c r="G17" s="35" t="s">
        <v>77</v>
      </c>
      <c r="H17" s="123" t="s">
        <v>9</v>
      </c>
      <c r="I17" s="30">
        <f>(1443+0.172*I16)/1000</f>
        <v>1.4920199999999999</v>
      </c>
      <c r="J17" s="30">
        <f>(1443+0.172*J16)/1000</f>
        <v>1.491538638125647</v>
      </c>
      <c r="K17" s="30">
        <f>(1443+0.172*K16)/1000</f>
        <v>1.4910631879599727</v>
      </c>
      <c r="L17" s="30">
        <f t="shared" ref="L17:M17" si="7">(1443+0.172*L16)/1000</f>
        <v>1.4905935071573495</v>
      </c>
      <c r="M17" s="30">
        <f t="shared" si="7"/>
        <v>1.4901296011938259</v>
      </c>
    </row>
    <row r="18" spans="2:25" ht="15.75" thickBot="1">
      <c r="G18" s="35" t="s">
        <v>19</v>
      </c>
      <c r="H18" s="123" t="s">
        <v>0</v>
      </c>
      <c r="I18" s="3">
        <f>I14-I56/(I13*I17)</f>
        <v>287.2013844514355</v>
      </c>
      <c r="J18" s="3">
        <f>J14-J56/(J13*J17)</f>
        <v>284.43713930216751</v>
      </c>
      <c r="K18" s="3">
        <f>K14-K56/(K13*K17)</f>
        <v>281.70643696133442</v>
      </c>
      <c r="L18" s="3">
        <f>L14-L56/(L13*L17)</f>
        <v>279.00930926642917</v>
      </c>
      <c r="M18" s="3">
        <f>M14-M56/(M13*M17)</f>
        <v>276.34492655983831</v>
      </c>
    </row>
    <row r="19" spans="2:25">
      <c r="B19" s="17" t="s">
        <v>25</v>
      </c>
      <c r="C19" s="18" t="s">
        <v>12</v>
      </c>
      <c r="D19" s="19">
        <v>19.5</v>
      </c>
      <c r="E19" s="87" t="s">
        <v>23</v>
      </c>
      <c r="G19" s="35" t="s">
        <v>38</v>
      </c>
      <c r="H19" s="123" t="s">
        <v>0</v>
      </c>
      <c r="I19" s="3">
        <f>AVERAGE(I14,I18)</f>
        <v>288.60069222571775</v>
      </c>
      <c r="J19" s="3">
        <f>AVERAGE(J14,J18)</f>
        <v>285.81926187680153</v>
      </c>
      <c r="K19" s="3">
        <f>AVERAGE(K14,K18)</f>
        <v>283.07178813175096</v>
      </c>
      <c r="L19" s="3">
        <f t="shared" ref="L19" si="8">AVERAGE(L14,L18)</f>
        <v>280.35787311388179</v>
      </c>
      <c r="M19" s="3">
        <f>AVERAGE(M14,M18)</f>
        <v>277.67711791313377</v>
      </c>
    </row>
    <row r="20" spans="2:25">
      <c r="B20" s="20" t="s">
        <v>121</v>
      </c>
      <c r="C20" s="21" t="s">
        <v>12</v>
      </c>
      <c r="D20" s="42">
        <f>SUM(I5:M5)</f>
        <v>37</v>
      </c>
      <c r="E20" s="88"/>
      <c r="G20" s="35" t="s">
        <v>76</v>
      </c>
      <c r="H20" s="123" t="s">
        <v>9</v>
      </c>
      <c r="I20" s="30">
        <f>(1443+0.172*I19)/1000</f>
        <v>1.4926393190628235</v>
      </c>
      <c r="J20" s="30">
        <f>(1443+0.172*J19)/1000</f>
        <v>1.49216091304281</v>
      </c>
      <c r="K20" s="30">
        <f>(1443+0.172*K19)/1000</f>
        <v>1.4916883475586613</v>
      </c>
      <c r="L20" s="30">
        <f t="shared" ref="L20" si="9">(1443+0.172*L19)/1000</f>
        <v>1.4912215541755878</v>
      </c>
      <c r="M20" s="30">
        <f>(1443+0.172*M19)/1000</f>
        <v>1.490760464281059</v>
      </c>
    </row>
    <row r="21" spans="2:25">
      <c r="B21" s="20" t="s">
        <v>72</v>
      </c>
      <c r="C21" s="21" t="s">
        <v>35</v>
      </c>
      <c r="D21" s="41">
        <v>1</v>
      </c>
      <c r="E21" s="10" t="s">
        <v>116</v>
      </c>
      <c r="G21" s="35"/>
      <c r="H21" s="123"/>
      <c r="I21" s="3"/>
      <c r="J21" s="3"/>
      <c r="K21" s="3"/>
      <c r="L21" s="3"/>
      <c r="M21" s="3"/>
    </row>
    <row r="22" spans="2:25">
      <c r="B22" s="20" t="s">
        <v>25</v>
      </c>
      <c r="C22" s="21" t="s">
        <v>12</v>
      </c>
      <c r="D22" s="42">
        <f>D19/SQRT(D21)</f>
        <v>19.5</v>
      </c>
      <c r="E22" s="10" t="s">
        <v>23</v>
      </c>
      <c r="G22" s="35" t="s">
        <v>32</v>
      </c>
      <c r="H22" s="123" t="s">
        <v>15</v>
      </c>
      <c r="I22" s="6">
        <f t="shared" ref="I22:M22" si="10">I5/(I27*0.0254)</f>
        <v>291.33858267716539</v>
      </c>
      <c r="J22" s="6">
        <f t="shared" si="10"/>
        <v>291.33858267716539</v>
      </c>
      <c r="K22" s="6">
        <f t="shared" si="10"/>
        <v>291.33858267716539</v>
      </c>
      <c r="L22" s="6">
        <f t="shared" si="10"/>
        <v>291.33858267716539</v>
      </c>
      <c r="M22" s="6">
        <f t="shared" si="10"/>
        <v>291.33858267716539</v>
      </c>
    </row>
    <row r="23" spans="2:25">
      <c r="B23" s="20" t="s">
        <v>121</v>
      </c>
      <c r="C23" s="21" t="s">
        <v>12</v>
      </c>
      <c r="D23" s="42">
        <f>SQRT(D21)*D20</f>
        <v>37</v>
      </c>
      <c r="E23" s="10" t="s">
        <v>23</v>
      </c>
      <c r="G23" s="35" t="s">
        <v>34</v>
      </c>
      <c r="H23" s="123" t="s">
        <v>2</v>
      </c>
      <c r="I23" s="8">
        <f>I13/I22</f>
        <v>2.6748637062973075</v>
      </c>
      <c r="J23" s="8">
        <f t="shared" ref="J23:M23" si="11">J13/J22</f>
        <v>2.6748637062973075</v>
      </c>
      <c r="K23" s="8">
        <f t="shared" si="11"/>
        <v>2.6748637062973075</v>
      </c>
      <c r="L23" s="8">
        <f t="shared" si="11"/>
        <v>2.6748637062973075</v>
      </c>
      <c r="M23" s="8">
        <f t="shared" si="11"/>
        <v>2.6748637062973075</v>
      </c>
      <c r="O23" t="s">
        <v>75</v>
      </c>
    </row>
    <row r="24" spans="2:25">
      <c r="B24" s="20" t="s">
        <v>167</v>
      </c>
      <c r="C24" s="21" t="s">
        <v>13</v>
      </c>
      <c r="D24" s="82">
        <f>H*P</f>
        <v>721.5</v>
      </c>
      <c r="E24" s="10"/>
      <c r="G24" s="35" t="s">
        <v>118</v>
      </c>
      <c r="H24" s="123" t="s">
        <v>16</v>
      </c>
      <c r="I24" s="6">
        <f>I8*$D9</f>
        <v>0</v>
      </c>
      <c r="J24" s="6">
        <f t="shared" ref="J24:M24" si="12">J8*$D9</f>
        <v>0</v>
      </c>
      <c r="K24" s="6">
        <f t="shared" si="12"/>
        <v>0</v>
      </c>
      <c r="L24" s="6">
        <f t="shared" si="12"/>
        <v>0</v>
      </c>
      <c r="M24" s="6">
        <f t="shared" si="12"/>
        <v>0</v>
      </c>
      <c r="O24" s="44">
        <f>AVERAGE(I24:M24)</f>
        <v>0</v>
      </c>
      <c r="P24" s="65" t="s">
        <v>16</v>
      </c>
    </row>
    <row r="25" spans="2:25" ht="15.75" thickBot="1">
      <c r="B25" s="27" t="s">
        <v>14</v>
      </c>
      <c r="C25" s="26" t="s">
        <v>15</v>
      </c>
      <c r="D25" s="28">
        <f>COUNT(I5:M5)</f>
        <v>5</v>
      </c>
      <c r="E25" s="11" t="s">
        <v>23</v>
      </c>
      <c r="G25" s="35" t="s">
        <v>71</v>
      </c>
      <c r="H25" s="123" t="s">
        <v>35</v>
      </c>
      <c r="I25" s="40" t="e">
        <f>I24/MAX($I24:$M24)</f>
        <v>#DIV/0!</v>
      </c>
      <c r="J25" s="40" t="e">
        <f>J24/MAX($I24:$M24)</f>
        <v>#DIV/0!</v>
      </c>
      <c r="K25" s="40" t="e">
        <f>K24/MAX($I24:$M24)</f>
        <v>#DIV/0!</v>
      </c>
      <c r="L25" s="40" t="e">
        <f>L24/MAX($I24:$M24)</f>
        <v>#DIV/0!</v>
      </c>
      <c r="M25" s="40" t="e">
        <f>M24/MAX($I24:$M24)</f>
        <v>#DIV/0!</v>
      </c>
      <c r="O25" s="77"/>
    </row>
    <row r="26" spans="2:25" ht="15.75" thickBot="1">
      <c r="G26" s="122"/>
      <c r="H26" s="124"/>
      <c r="I26" s="6"/>
      <c r="J26" s="6"/>
      <c r="K26" s="6"/>
      <c r="L26" s="6"/>
      <c r="M26" s="6"/>
      <c r="N26" s="85"/>
      <c r="O26" s="85"/>
      <c r="P26" s="85"/>
      <c r="Q26" t="s">
        <v>168</v>
      </c>
      <c r="S26" t="s">
        <v>169</v>
      </c>
    </row>
    <row r="27" spans="2:25">
      <c r="B27" s="17" t="s">
        <v>70</v>
      </c>
      <c r="C27" s="18" t="s">
        <v>35</v>
      </c>
      <c r="D27" s="48">
        <v>1.5E-5</v>
      </c>
      <c r="E27" s="9" t="s">
        <v>52</v>
      </c>
      <c r="G27" s="35" t="s">
        <v>26</v>
      </c>
      <c r="H27" s="123" t="s">
        <v>27</v>
      </c>
      <c r="I27" s="5">
        <f>$D$28</f>
        <v>1</v>
      </c>
      <c r="J27" s="5">
        <f t="shared" ref="J27:M27" si="13">$D$28</f>
        <v>1</v>
      </c>
      <c r="K27" s="5">
        <f t="shared" si="13"/>
        <v>1</v>
      </c>
      <c r="L27" s="5">
        <f t="shared" si="13"/>
        <v>1</v>
      </c>
      <c r="M27" s="5">
        <f t="shared" si="13"/>
        <v>1</v>
      </c>
    </row>
    <row r="28" spans="2:25">
      <c r="B28" s="20" t="s">
        <v>26</v>
      </c>
      <c r="C28" s="21" t="s">
        <v>27</v>
      </c>
      <c r="D28" s="47">
        <v>1</v>
      </c>
      <c r="E28" s="10" t="s">
        <v>23</v>
      </c>
      <c r="G28" s="35" t="s">
        <v>28</v>
      </c>
      <c r="H28" s="123" t="s">
        <v>29</v>
      </c>
      <c r="I28" s="5">
        <f>$D$29</f>
        <v>1.5</v>
      </c>
      <c r="J28" s="5">
        <f t="shared" ref="J28:M28" si="14">$D$29</f>
        <v>1.5</v>
      </c>
      <c r="K28" s="5">
        <f t="shared" si="14"/>
        <v>1.5</v>
      </c>
      <c r="L28" s="5">
        <f t="shared" si="14"/>
        <v>1.5</v>
      </c>
      <c r="M28" s="5">
        <f t="shared" si="14"/>
        <v>1.5</v>
      </c>
      <c r="Q28" t="s">
        <v>170</v>
      </c>
    </row>
    <row r="29" spans="2:25" ht="15.75" thickBot="1">
      <c r="B29" s="27" t="s">
        <v>97</v>
      </c>
      <c r="C29" s="26" t="s">
        <v>29</v>
      </c>
      <c r="D29" s="49">
        <v>1.5</v>
      </c>
      <c r="E29" s="11" t="s">
        <v>23</v>
      </c>
      <c r="G29" s="35" t="s">
        <v>30</v>
      </c>
      <c r="H29" s="123" t="s">
        <v>29</v>
      </c>
      <c r="I29" s="2">
        <f>I27*25.4-2*I28</f>
        <v>22.4</v>
      </c>
      <c r="J29" s="2">
        <f t="shared" ref="J29:M29" si="15">J27*25.4-2*J28</f>
        <v>22.4</v>
      </c>
      <c r="K29" s="2">
        <f t="shared" si="15"/>
        <v>22.4</v>
      </c>
      <c r="L29" s="2">
        <f t="shared" si="15"/>
        <v>22.4</v>
      </c>
      <c r="M29" s="2">
        <f t="shared" si="15"/>
        <v>22.4</v>
      </c>
      <c r="Q29" t="s">
        <v>17</v>
      </c>
      <c r="R29" t="s">
        <v>171</v>
      </c>
      <c r="S29" t="s">
        <v>172</v>
      </c>
      <c r="T29" t="s">
        <v>173</v>
      </c>
      <c r="U29" t="s">
        <v>174</v>
      </c>
      <c r="V29" t="s">
        <v>175</v>
      </c>
      <c r="W29" t="s">
        <v>176</v>
      </c>
      <c r="X29" t="s">
        <v>177</v>
      </c>
      <c r="Y29" t="s">
        <v>178</v>
      </c>
    </row>
    <row r="30" spans="2:25" ht="15.75" thickBot="1">
      <c r="B30" s="43"/>
      <c r="G30" s="35" t="s">
        <v>31</v>
      </c>
      <c r="H30" s="123" t="s">
        <v>13</v>
      </c>
      <c r="I30" s="15">
        <f>PI()*(I29/1000)^2/4</f>
        <v>3.9408138246630365E-4</v>
      </c>
      <c r="J30" s="15">
        <f t="shared" ref="J30:M30" si="16">PI()*(J29/1000)^2/4</f>
        <v>3.9408138246630365E-4</v>
      </c>
      <c r="K30" s="15">
        <f t="shared" si="16"/>
        <v>3.9408138246630365E-4</v>
      </c>
      <c r="L30" s="15">
        <f t="shared" si="16"/>
        <v>3.9408138246630365E-4</v>
      </c>
      <c r="M30" s="15">
        <f t="shared" si="16"/>
        <v>3.9408138246630365E-4</v>
      </c>
      <c r="Q30">
        <v>2.5</v>
      </c>
      <c r="R30" t="s">
        <v>179</v>
      </c>
      <c r="S30">
        <v>3</v>
      </c>
      <c r="T30">
        <v>7.4</v>
      </c>
      <c r="U30">
        <v>19.5</v>
      </c>
      <c r="V30">
        <v>357</v>
      </c>
      <c r="W30">
        <v>377</v>
      </c>
      <c r="X30">
        <v>20</v>
      </c>
      <c r="Y30" t="s">
        <v>180</v>
      </c>
    </row>
    <row r="31" spans="2:25">
      <c r="B31" s="17" t="s">
        <v>99</v>
      </c>
      <c r="C31" s="18" t="s">
        <v>35</v>
      </c>
      <c r="D31" s="59">
        <f>PI()/2</f>
        <v>1.5707963267948966</v>
      </c>
      <c r="E31" s="9" t="s">
        <v>100</v>
      </c>
      <c r="G31" s="35"/>
      <c r="H31" s="123"/>
      <c r="I31" s="15"/>
      <c r="J31" s="15"/>
      <c r="K31" s="15"/>
      <c r="L31" s="15"/>
      <c r="M31" s="15"/>
      <c r="Q31">
        <v>2.5</v>
      </c>
      <c r="R31" t="s">
        <v>179</v>
      </c>
      <c r="S31">
        <v>3</v>
      </c>
      <c r="T31">
        <v>7.4</v>
      </c>
      <c r="U31">
        <v>19.5</v>
      </c>
      <c r="V31">
        <v>412</v>
      </c>
      <c r="W31">
        <v>432</v>
      </c>
      <c r="X31">
        <v>20</v>
      </c>
      <c r="Y31" t="s">
        <v>181</v>
      </c>
    </row>
    <row r="32" spans="2:25">
      <c r="B32" s="20" t="s">
        <v>96</v>
      </c>
      <c r="C32" s="21" t="s">
        <v>35</v>
      </c>
      <c r="D32" s="66">
        <f>(D28*25.4)/(D28*25.4-2*D29)</f>
        <v>1.1339285714285714</v>
      </c>
      <c r="E32" s="10" t="s">
        <v>101</v>
      </c>
      <c r="G32" s="35" t="s">
        <v>36</v>
      </c>
      <c r="H32" s="123" t="s">
        <v>37</v>
      </c>
      <c r="I32" s="29">
        <f t="shared" ref="I32:M32" si="17">2090-0.636*I19</f>
        <v>1906.4499597444435</v>
      </c>
      <c r="J32" s="29">
        <f t="shared" si="17"/>
        <v>1908.2189494463541</v>
      </c>
      <c r="K32" s="29">
        <f t="shared" si="17"/>
        <v>1909.9663427482064</v>
      </c>
      <c r="L32" s="29">
        <f t="shared" si="17"/>
        <v>1911.6923926995712</v>
      </c>
      <c r="M32" s="29">
        <f t="shared" si="17"/>
        <v>1913.3973530072469</v>
      </c>
    </row>
    <row r="33" spans="2:25">
      <c r="B33" s="68" t="s">
        <v>102</v>
      </c>
      <c r="C33" s="43" t="s">
        <v>41</v>
      </c>
      <c r="D33" s="67">
        <v>5</v>
      </c>
      <c r="E33" s="69" t="s">
        <v>103</v>
      </c>
      <c r="G33" s="35" t="s">
        <v>39</v>
      </c>
      <c r="H33" s="123" t="s">
        <v>40</v>
      </c>
      <c r="I33" s="30">
        <f>(22.714-0.12*I19+0.0002281*I19^2-0.0000001474*I19^3)/1000</f>
        <v>3.5372975376738755E-3</v>
      </c>
      <c r="J33" s="30">
        <f t="shared" ref="J33:M33" si="18">(22.714-0.12*J19+0.0002281*J19^2-0.0000001474*J19^3)/1000</f>
        <v>3.6080904523306573E-3</v>
      </c>
      <c r="K33" s="30">
        <f t="shared" si="18"/>
        <v>3.6795640667362829E-3</v>
      </c>
      <c r="L33" s="30">
        <f t="shared" si="18"/>
        <v>3.7516901387439185E-3</v>
      </c>
      <c r="M33" s="30">
        <f t="shared" si="18"/>
        <v>3.8244407164691832E-3</v>
      </c>
      <c r="Q33" t="s">
        <v>182</v>
      </c>
    </row>
    <row r="34" spans="2:25">
      <c r="B34" s="68" t="s">
        <v>104</v>
      </c>
      <c r="C34" s="43" t="s">
        <v>83</v>
      </c>
      <c r="D34" s="67">
        <f>4.1*D33-1.7</f>
        <v>18.8</v>
      </c>
      <c r="E34" s="69" t="s">
        <v>103</v>
      </c>
      <c r="G34" s="35" t="s">
        <v>161</v>
      </c>
      <c r="H34" s="123" t="s">
        <v>47</v>
      </c>
      <c r="I34" s="12">
        <f>I33/I32*10^6</f>
        <v>1.8554368655697862</v>
      </c>
      <c r="J34" s="12">
        <f t="shared" ref="J34:M34" si="19">J33/J32*10^6</f>
        <v>1.8908157543333797</v>
      </c>
      <c r="K34" s="12">
        <f t="shared" si="19"/>
        <v>1.9265072815062505</v>
      </c>
      <c r="L34" s="12">
        <f t="shared" si="19"/>
        <v>1.9624967662532875</v>
      </c>
      <c r="M34" s="12">
        <f t="shared" si="19"/>
        <v>1.9987697330397103</v>
      </c>
    </row>
    <row r="35" spans="2:25">
      <c r="B35" s="68" t="s">
        <v>109</v>
      </c>
      <c r="C35" s="43" t="s">
        <v>0</v>
      </c>
      <c r="D35" s="67">
        <v>25</v>
      </c>
      <c r="E35" s="69"/>
      <c r="G35" s="35"/>
      <c r="H35" s="123"/>
      <c r="I35" s="2"/>
      <c r="J35" s="2"/>
      <c r="K35" s="2"/>
      <c r="L35" s="2"/>
      <c r="M35" s="2"/>
      <c r="Q35">
        <v>2.5</v>
      </c>
      <c r="R35" t="s">
        <v>179</v>
      </c>
      <c r="S35">
        <v>3</v>
      </c>
      <c r="T35">
        <v>7.4</v>
      </c>
      <c r="U35">
        <v>19.5</v>
      </c>
      <c r="V35">
        <v>467</v>
      </c>
      <c r="W35">
        <v>487</v>
      </c>
      <c r="X35">
        <v>20</v>
      </c>
      <c r="Y35" t="s">
        <v>183</v>
      </c>
    </row>
    <row r="36" spans="2:25">
      <c r="B36" s="68" t="s">
        <v>105</v>
      </c>
      <c r="C36" s="43" t="s">
        <v>110</v>
      </c>
      <c r="D36" s="74">
        <v>5.6699999999999998E-8</v>
      </c>
      <c r="E36" s="72" t="s">
        <v>107</v>
      </c>
      <c r="F36" s="80"/>
      <c r="G36" s="35" t="s">
        <v>46</v>
      </c>
      <c r="H36" s="123" t="s">
        <v>41</v>
      </c>
      <c r="I36" s="75">
        <f t="shared" ref="I36:M36" si="20">I23/I32/I30</f>
        <v>3.5603306219155835</v>
      </c>
      <c r="J36" s="75">
        <f t="shared" si="20"/>
        <v>3.5570300634511618</v>
      </c>
      <c r="K36" s="75">
        <f t="shared" si="20"/>
        <v>3.5537758016517524</v>
      </c>
      <c r="L36" s="75">
        <f t="shared" si="20"/>
        <v>3.5505671292873977</v>
      </c>
      <c r="M36" s="75">
        <f t="shared" si="20"/>
        <v>3.5474033452382256</v>
      </c>
      <c r="N36" t="s">
        <v>75</v>
      </c>
      <c r="O36" s="81">
        <f>AVERAGE(I36:M36)</f>
        <v>3.5538213923088242</v>
      </c>
      <c r="Q36">
        <v>2.5</v>
      </c>
      <c r="R36" t="s">
        <v>179</v>
      </c>
      <c r="S36">
        <v>3</v>
      </c>
      <c r="T36">
        <v>7.4</v>
      </c>
      <c r="U36">
        <v>19.5</v>
      </c>
      <c r="V36">
        <v>522</v>
      </c>
      <c r="W36">
        <v>542</v>
      </c>
      <c r="X36">
        <v>20</v>
      </c>
      <c r="Y36" t="s">
        <v>183</v>
      </c>
    </row>
    <row r="37" spans="2:25" ht="15.75" thickBot="1">
      <c r="B37" s="70" t="s">
        <v>106</v>
      </c>
      <c r="C37" s="71" t="s">
        <v>35</v>
      </c>
      <c r="D37" s="76">
        <v>0.89</v>
      </c>
      <c r="E37" s="73" t="s">
        <v>108</v>
      </c>
      <c r="G37" s="35" t="s">
        <v>42</v>
      </c>
      <c r="H37" s="123" t="s">
        <v>35</v>
      </c>
      <c r="I37" s="14">
        <f>I36*(I29/1000)/(I34*10^-6)</f>
        <v>42982.548967743081</v>
      </c>
      <c r="J37" s="14">
        <f t="shared" ref="J37:M37" si="21">J36*(J29/1000)/(J34*10^-6)</f>
        <v>42139.205387251954</v>
      </c>
      <c r="K37" s="14">
        <f t="shared" si="21"/>
        <v>41320.673283290147</v>
      </c>
      <c r="L37" s="14">
        <f t="shared" si="21"/>
        <v>40526.285221798375</v>
      </c>
      <c r="M37" s="14">
        <f t="shared" si="21"/>
        <v>39755.372327202211</v>
      </c>
      <c r="Q37">
        <v>2.5</v>
      </c>
      <c r="R37" t="s">
        <v>179</v>
      </c>
      <c r="S37">
        <v>3</v>
      </c>
      <c r="T37">
        <v>7.4</v>
      </c>
      <c r="U37">
        <v>19.5</v>
      </c>
      <c r="V37">
        <v>565</v>
      </c>
      <c r="W37">
        <v>585</v>
      </c>
      <c r="X37">
        <v>20</v>
      </c>
      <c r="Y37" t="s">
        <v>183</v>
      </c>
    </row>
    <row r="38" spans="2:25" ht="15.75" thickBot="1">
      <c r="G38" s="35" t="s">
        <v>43</v>
      </c>
      <c r="H38" s="123" t="s">
        <v>35</v>
      </c>
      <c r="I38" s="61">
        <f>(-1/1.8/LOG10(($D27/(I29/1000)/3.7)^1.11+6.9/I37))^2</f>
        <v>2.3332838261052091E-2</v>
      </c>
      <c r="J38" s="61">
        <f t="shared" ref="J38:M38" si="22">(-1/1.8/LOG10(($D27/(J29/1000)/3.7)^1.11+6.9/J37))^2</f>
        <v>2.341010396079711E-2</v>
      </c>
      <c r="K38" s="61">
        <f t="shared" si="22"/>
        <v>2.3487425290349428E-2</v>
      </c>
      <c r="L38" s="61">
        <f t="shared" si="22"/>
        <v>2.3564768651622423E-2</v>
      </c>
      <c r="M38" s="61">
        <f t="shared" si="22"/>
        <v>2.3642101929920292E-2</v>
      </c>
    </row>
    <row r="39" spans="2:25">
      <c r="B39" s="17" t="s">
        <v>123</v>
      </c>
      <c r="C39" s="18" t="s">
        <v>12</v>
      </c>
      <c r="D39" s="19">
        <v>200</v>
      </c>
      <c r="E39" s="9" t="s">
        <v>23</v>
      </c>
      <c r="G39" s="35" t="s">
        <v>44</v>
      </c>
      <c r="H39" s="123" t="s">
        <v>45</v>
      </c>
      <c r="I39" s="62">
        <f>(I38*(I6*1000/I29)*(I32/2)*I36^2)*10^-5</f>
        <v>2.454314638145771</v>
      </c>
      <c r="J39" s="62">
        <f t="shared" ref="J39:M39" si="23">(J38*(J6*1000/J29)*(J32/2)*J36^2)*10^-5</f>
        <v>2.4601592214864891</v>
      </c>
      <c r="K39" s="62">
        <f t="shared" si="23"/>
        <v>2.4660267028529947</v>
      </c>
      <c r="L39" s="62">
        <f t="shared" si="23"/>
        <v>2.4719133667085331</v>
      </c>
      <c r="M39" s="62">
        <f t="shared" si="23"/>
        <v>2.4778156637980113</v>
      </c>
    </row>
    <row r="40" spans="2:25">
      <c r="B40" s="20" t="s">
        <v>50</v>
      </c>
      <c r="C40" s="21" t="s">
        <v>37</v>
      </c>
      <c r="D40" s="42">
        <f>2090-0.636*Tc</f>
        <v>1905.56</v>
      </c>
      <c r="E40" s="90"/>
      <c r="G40" s="35"/>
      <c r="H40" s="123"/>
      <c r="I40" s="13"/>
      <c r="J40" s="13"/>
      <c r="K40" s="13"/>
      <c r="L40" s="13"/>
      <c r="M40" s="13"/>
    </row>
    <row r="41" spans="2:25">
      <c r="B41" s="68" t="s">
        <v>125</v>
      </c>
      <c r="C41" s="43" t="s">
        <v>124</v>
      </c>
      <c r="D41" s="22">
        <v>9.81</v>
      </c>
      <c r="E41" s="90"/>
      <c r="G41" s="35" t="s">
        <v>90</v>
      </c>
      <c r="H41" s="123" t="s">
        <v>79</v>
      </c>
      <c r="I41" s="45">
        <f t="shared" ref="I41:M41" si="24">0.443+0.00019*I19</f>
        <v>0.49783413152288636</v>
      </c>
      <c r="J41" s="45">
        <f t="shared" si="24"/>
        <v>0.4973056597565923</v>
      </c>
      <c r="K41" s="45">
        <f t="shared" si="24"/>
        <v>0.4967836397450327</v>
      </c>
      <c r="L41" s="45">
        <f t="shared" si="24"/>
        <v>0.49626799589163756</v>
      </c>
      <c r="M41" s="45">
        <f t="shared" si="24"/>
        <v>0.49575865240349543</v>
      </c>
    </row>
    <row r="42" spans="2:25" ht="15.75" thickBot="1">
      <c r="B42" s="27" t="s">
        <v>153</v>
      </c>
      <c r="C42" s="26" t="s">
        <v>45</v>
      </c>
      <c r="D42" s="112">
        <f>D40*D41*D39/100000</f>
        <v>37.387087200000003</v>
      </c>
      <c r="E42" s="113"/>
      <c r="G42" s="35" t="s">
        <v>80</v>
      </c>
      <c r="H42" s="123" t="s">
        <v>35</v>
      </c>
      <c r="I42" s="13">
        <f>I20*1000*I33/I41</f>
        <v>10.605760139034196</v>
      </c>
      <c r="J42" s="13">
        <f t="shared" ref="J42:M42" si="25">J20*1000*J33/J41</f>
        <v>10.826041164152244</v>
      </c>
      <c r="K42" s="13">
        <f t="shared" si="25"/>
        <v>11.048598229327972</v>
      </c>
      <c r="L42" s="13">
        <f t="shared" si="25"/>
        <v>11.273346751750923</v>
      </c>
      <c r="M42" s="13">
        <f t="shared" si="25"/>
        <v>11.500202750790736</v>
      </c>
    </row>
    <row r="43" spans="2:25" ht="15.75" thickBot="1">
      <c r="B43" s="21"/>
      <c r="C43" s="21"/>
      <c r="D43" s="42"/>
      <c r="E43" s="114"/>
      <c r="G43" s="35" t="s">
        <v>81</v>
      </c>
      <c r="H43" s="123" t="s">
        <v>35</v>
      </c>
      <c r="I43" s="3">
        <f>0.023*I37^0.8*I42^(0.4)</f>
        <v>301.00817431336463</v>
      </c>
      <c r="J43" s="3">
        <f>0.023*J37^0.8*J42^(0.4)</f>
        <v>298.72032918506011</v>
      </c>
      <c r="K43" s="3">
        <f t="shared" ref="K43:M43" si="26">0.023*K37^0.8*K42^(0.4)</f>
        <v>296.47263953718209</v>
      </c>
      <c r="L43" s="3">
        <f t="shared" si="26"/>
        <v>294.26487093383992</v>
      </c>
      <c r="M43" s="3">
        <f t="shared" si="26"/>
        <v>292.09672993217714</v>
      </c>
    </row>
    <row r="44" spans="2:25">
      <c r="B44" s="17" t="s">
        <v>155</v>
      </c>
      <c r="C44" s="115" t="s">
        <v>41</v>
      </c>
      <c r="D44" s="116">
        <v>4</v>
      </c>
      <c r="E44" s="117" t="s">
        <v>156</v>
      </c>
      <c r="G44" s="35" t="s">
        <v>82</v>
      </c>
      <c r="H44" s="123" t="s">
        <v>83</v>
      </c>
      <c r="I44" s="14">
        <f>I43*I41/(I29/1000)</f>
        <v>6689.8278143117632</v>
      </c>
      <c r="J44" s="14">
        <f t="shared" ref="J44:M44" si="27">J43*J41/(J29/1000)</f>
        <v>6631.9334994679793</v>
      </c>
      <c r="K44" s="14">
        <f t="shared" si="27"/>
        <v>6575.1230783079645</v>
      </c>
      <c r="L44" s="14">
        <f t="shared" si="27"/>
        <v>6519.385614270006</v>
      </c>
      <c r="M44" s="14">
        <f t="shared" si="27"/>
        <v>6464.7089822608887</v>
      </c>
    </row>
    <row r="45" spans="2:25">
      <c r="B45" s="20" t="s">
        <v>157</v>
      </c>
      <c r="C45" s="43" t="s">
        <v>13</v>
      </c>
      <c r="D45" s="111">
        <f>Mtot/D40/D44</f>
        <v>0.20447821140432398</v>
      </c>
      <c r="E45" s="90"/>
      <c r="G45" s="35" t="s">
        <v>92</v>
      </c>
      <c r="H45" s="123" t="s">
        <v>94</v>
      </c>
      <c r="I45" s="8">
        <f>(1/I44)*$D$32*1000</f>
        <v>0.16950041210368999</v>
      </c>
      <c r="J45" s="8">
        <f>(1/J44)*$D$32*1000</f>
        <v>0.17098008771039946</v>
      </c>
      <c r="K45" s="8">
        <f t="shared" ref="K45:L45" si="28">(1/K44)*$D$32*1000</f>
        <v>0.17245739097561888</v>
      </c>
      <c r="L45" s="8">
        <f t="shared" si="28"/>
        <v>0.17393181482417042</v>
      </c>
      <c r="M45" s="8">
        <f>(1/M44)*$D$32*1000</f>
        <v>0.17540287962537254</v>
      </c>
    </row>
    <row r="46" spans="2:25">
      <c r="B46" s="20" t="s">
        <v>154</v>
      </c>
      <c r="C46" s="43" t="s">
        <v>29</v>
      </c>
      <c r="D46" s="42">
        <f>1000*SQRT(4*D45/PI())</f>
        <v>510.24478909313888</v>
      </c>
      <c r="E46" s="90"/>
      <c r="G46" s="35"/>
      <c r="H46" s="123"/>
      <c r="I46" s="8"/>
      <c r="J46" s="14"/>
      <c r="K46" s="14"/>
      <c r="L46" s="14"/>
      <c r="M46" s="14"/>
    </row>
    <row r="47" spans="2:25">
      <c r="B47" s="20" t="s">
        <v>159</v>
      </c>
      <c r="C47" s="43" t="s">
        <v>40</v>
      </c>
      <c r="D47" s="111">
        <f>(22.714-0.12*D5+0.0002281*D5^2-0.0000001474*D5^3)/1000</f>
        <v>3.5022714000000001E-3</v>
      </c>
      <c r="E47" s="90"/>
      <c r="G47" s="35" t="s">
        <v>91</v>
      </c>
      <c r="H47" s="123" t="s">
        <v>79</v>
      </c>
      <c r="I47" s="58">
        <f t="shared" ref="I47:M47" si="29">0.0155*I19+13.134</f>
        <v>17.607310729498625</v>
      </c>
      <c r="J47" s="58">
        <f t="shared" si="29"/>
        <v>17.564198559090425</v>
      </c>
      <c r="K47" s="58">
        <f t="shared" si="29"/>
        <v>17.521612716042142</v>
      </c>
      <c r="L47" s="58">
        <f t="shared" si="29"/>
        <v>17.47954703326517</v>
      </c>
      <c r="M47" s="58">
        <f t="shared" si="29"/>
        <v>17.437995327653574</v>
      </c>
      <c r="N47" t="s">
        <v>86</v>
      </c>
    </row>
    <row r="48" spans="2:25">
      <c r="B48" s="20" t="s">
        <v>160</v>
      </c>
      <c r="C48" s="43" t="s">
        <v>47</v>
      </c>
      <c r="D48" s="24">
        <f>D47/D40*10^6</f>
        <v>1.8379223955162787</v>
      </c>
      <c r="E48" s="90"/>
      <c r="G48" s="35" t="s">
        <v>85</v>
      </c>
      <c r="H48" s="123" t="s">
        <v>94</v>
      </c>
      <c r="I48" s="46">
        <f>((I28/1000)/I47)*1000</f>
        <v>8.5191885520993091E-2</v>
      </c>
      <c r="J48" s="46">
        <f t="shared" ref="J48:M48" si="30">((J28/1000)/J47)*1000</f>
        <v>8.5400993102737882E-2</v>
      </c>
      <c r="K48" s="46">
        <f t="shared" si="30"/>
        <v>8.5608558088186446E-2</v>
      </c>
      <c r="L48" s="46">
        <f t="shared" si="30"/>
        <v>8.5814580729429851E-2</v>
      </c>
      <c r="M48" s="46">
        <f t="shared" si="30"/>
        <v>8.6019061928595972E-2</v>
      </c>
    </row>
    <row r="49" spans="2:15">
      <c r="B49" s="20" t="s">
        <v>158</v>
      </c>
      <c r="C49" s="43" t="s">
        <v>35</v>
      </c>
      <c r="D49" s="44">
        <f>D44*(D46/1000)/(D48*10^-6)</f>
        <v>1110481.6837488057</v>
      </c>
      <c r="E49" s="90"/>
      <c r="G49" s="35" t="s">
        <v>95</v>
      </c>
      <c r="H49" s="123" t="s">
        <v>94</v>
      </c>
      <c r="I49" s="46">
        <f>0.00006*1000</f>
        <v>6.0000000000000005E-2</v>
      </c>
      <c r="J49" s="46">
        <f t="shared" ref="J49:M49" si="31">0.00006*1000</f>
        <v>6.0000000000000005E-2</v>
      </c>
      <c r="K49" s="46">
        <f t="shared" si="31"/>
        <v>6.0000000000000005E-2</v>
      </c>
      <c r="L49" s="46">
        <f t="shared" si="31"/>
        <v>6.0000000000000005E-2</v>
      </c>
      <c r="M49" s="46">
        <f t="shared" si="31"/>
        <v>6.0000000000000005E-2</v>
      </c>
    </row>
    <row r="50" spans="2:15">
      <c r="B50" s="20" t="s">
        <v>162</v>
      </c>
      <c r="C50" s="43" t="s">
        <v>35</v>
      </c>
      <c r="D50" s="111">
        <f>(-1/1.8/LOG10(($D27/(D46/1000)/3.7)^1.11+6.9/D49))^2</f>
        <v>1.1979311202567081E-2</v>
      </c>
      <c r="E50" s="90"/>
      <c r="G50" s="35"/>
      <c r="H50" s="123"/>
      <c r="I50" s="14"/>
      <c r="J50" s="14"/>
      <c r="K50" s="14"/>
      <c r="L50" s="14"/>
      <c r="M50" s="14"/>
    </row>
    <row r="51" spans="2:15" ht="15.75" thickBot="1">
      <c r="B51" s="27" t="s">
        <v>152</v>
      </c>
      <c r="C51" s="71" t="s">
        <v>45</v>
      </c>
      <c r="D51" s="118">
        <f>(D50*(I6*1000/D46)*(D40/2)*D44^2)*10^-5</f>
        <v>6.9791172627840681E-2</v>
      </c>
      <c r="E51" s="113" t="s">
        <v>166</v>
      </c>
      <c r="G51" s="35" t="s">
        <v>84</v>
      </c>
      <c r="H51" s="123" t="s">
        <v>0</v>
      </c>
      <c r="I51" s="6">
        <f>I19+I11*(I45+I48+I49)/$D$31</f>
        <v>288.60069222571775</v>
      </c>
      <c r="J51" s="6">
        <f t="shared" ref="J51:M51" si="32">J19+J11*(J45+J48+J49)/$D$31</f>
        <v>285.81926187680153</v>
      </c>
      <c r="K51" s="6">
        <f t="shared" si="32"/>
        <v>283.07178813175096</v>
      </c>
      <c r="L51" s="6">
        <f t="shared" si="32"/>
        <v>280.35787311388179</v>
      </c>
      <c r="M51" s="6">
        <f t="shared" si="32"/>
        <v>277.67711791313377</v>
      </c>
    </row>
    <row r="52" spans="2:15" ht="15.75" thickBot="1">
      <c r="B52" s="21"/>
      <c r="C52" s="43"/>
      <c r="D52" s="111"/>
      <c r="E52" s="114"/>
      <c r="G52" s="35"/>
      <c r="H52" s="123"/>
      <c r="I52" s="6"/>
      <c r="J52" s="6"/>
      <c r="K52" s="6"/>
      <c r="L52" s="6"/>
      <c r="M52" s="6"/>
      <c r="O52" t="s">
        <v>112</v>
      </c>
    </row>
    <row r="53" spans="2:15">
      <c r="B53" s="17" t="s">
        <v>144</v>
      </c>
      <c r="C53" s="115" t="s">
        <v>49</v>
      </c>
      <c r="D53" s="119">
        <v>0.77</v>
      </c>
      <c r="E53" s="117" t="s">
        <v>23</v>
      </c>
      <c r="G53" s="35" t="s">
        <v>111</v>
      </c>
      <c r="H53" s="123" t="s">
        <v>112</v>
      </c>
      <c r="I53" s="6">
        <f>$D$34*I7*(I51-$D$35)/1000</f>
        <v>715.10650189761623</v>
      </c>
      <c r="J53" s="6">
        <f t="shared" ref="J53:M53" si="33">$D$34*J7*(J51-$D$35)/1000</f>
        <v>707.56092638986229</v>
      </c>
      <c r="K53" s="6">
        <f t="shared" si="33"/>
        <v>700.10746971533933</v>
      </c>
      <c r="L53" s="6">
        <f t="shared" si="33"/>
        <v>692.74505249826302</v>
      </c>
      <c r="M53" s="6">
        <f t="shared" si="33"/>
        <v>685.47259255946585</v>
      </c>
      <c r="N53" t="s">
        <v>75</v>
      </c>
      <c r="O53" s="44">
        <f>AVERAGE(I53:M53)</f>
        <v>700.19850861210921</v>
      </c>
    </row>
    <row r="54" spans="2:15" ht="15.75" thickBot="1">
      <c r="B54" s="27" t="s">
        <v>48</v>
      </c>
      <c r="C54" s="26" t="s">
        <v>49</v>
      </c>
      <c r="D54" s="120">
        <f>D53*D9^0.5</f>
        <v>0.77</v>
      </c>
      <c r="E54" s="121" t="s">
        <v>148</v>
      </c>
      <c r="G54" s="35" t="s">
        <v>113</v>
      </c>
      <c r="H54" s="123" t="s">
        <v>112</v>
      </c>
      <c r="I54" s="6">
        <f>$D$36*$D$37*I7*((I51+273)^4-($D$35+273)^4)/1000</f>
        <v>666.92699555723516</v>
      </c>
      <c r="J54" s="6">
        <f t="shared" ref="J54:M54" si="34">$D$36*$D$37*J7*((J51+273)^4-($D$35+273)^4)/1000</f>
        <v>652.68329710578962</v>
      </c>
      <c r="K54" s="6">
        <f t="shared" si="34"/>
        <v>638.82075505053808</v>
      </c>
      <c r="L54" s="6">
        <f t="shared" si="34"/>
        <v>625.32778481042885</v>
      </c>
      <c r="M54" s="6">
        <f t="shared" si="34"/>
        <v>612.19316117582514</v>
      </c>
      <c r="N54" t="s">
        <v>75</v>
      </c>
      <c r="O54" s="44">
        <f>AVERAGE(I54:M54)</f>
        <v>639.19039873996337</v>
      </c>
    </row>
    <row r="55" spans="2:15" ht="15.75" thickBot="1">
      <c r="G55" s="35"/>
      <c r="H55" s="123"/>
      <c r="I55" s="6">
        <f>I53+I54</f>
        <v>1382.0334974548514</v>
      </c>
      <c r="J55" s="6">
        <f t="shared" ref="J55:M55" si="35">J53+J54</f>
        <v>1360.244223495652</v>
      </c>
      <c r="K55" s="6">
        <f t="shared" si="35"/>
        <v>1338.9282247658775</v>
      </c>
      <c r="L55" s="6">
        <f t="shared" si="35"/>
        <v>1318.0728373086918</v>
      </c>
      <c r="M55" s="6">
        <f t="shared" si="35"/>
        <v>1297.665753735291</v>
      </c>
    </row>
    <row r="56" spans="2:15">
      <c r="B56" s="17" t="s">
        <v>127</v>
      </c>
      <c r="C56" s="18" t="s">
        <v>1</v>
      </c>
      <c r="D56" s="91">
        <f>D72*(1-D54)</f>
        <v>1.3832268907214964</v>
      </c>
      <c r="E56" s="9" t="s">
        <v>129</v>
      </c>
      <c r="G56" s="35"/>
      <c r="H56" s="123"/>
      <c r="I56" s="126">
        <v>3254</v>
      </c>
      <c r="J56" s="126">
        <v>3213</v>
      </c>
      <c r="K56" s="126">
        <v>3173</v>
      </c>
      <c r="L56" s="126">
        <v>3133</v>
      </c>
      <c r="M56" s="126">
        <v>3094</v>
      </c>
    </row>
    <row r="57" spans="2:15" ht="15.75" thickBot="1">
      <c r="B57" s="20" t="s">
        <v>135</v>
      </c>
      <c r="C57" s="21" t="s">
        <v>1</v>
      </c>
      <c r="D57" s="106">
        <f>D72*D54</f>
        <v>4.6308030689371842</v>
      </c>
      <c r="E57" s="10" t="s">
        <v>126</v>
      </c>
      <c r="G57" s="35"/>
      <c r="H57" s="123"/>
      <c r="I57" s="125"/>
      <c r="J57" s="125"/>
      <c r="K57" s="125"/>
      <c r="L57" s="125"/>
      <c r="M57" s="125"/>
    </row>
    <row r="58" spans="2:15">
      <c r="B58" s="20" t="s">
        <v>128</v>
      </c>
      <c r="C58" s="21" t="s">
        <v>0</v>
      </c>
      <c r="D58" s="89">
        <f>D56*1000/(D16*ColdCp)</f>
        <v>0.59448221513101618</v>
      </c>
      <c r="E58" s="10"/>
      <c r="G58" s="21"/>
      <c r="H58" s="21"/>
      <c r="I58" s="114"/>
      <c r="J58" s="114"/>
      <c r="K58" s="114"/>
      <c r="L58" s="114"/>
      <c r="M58" s="114"/>
    </row>
    <row r="59" spans="2:15">
      <c r="B59" s="20" t="s">
        <v>147</v>
      </c>
      <c r="C59" s="21" t="s">
        <v>0</v>
      </c>
      <c r="D59" s="89">
        <f>D57*1000/(D16*HotCp)</f>
        <v>1.9291019321290215</v>
      </c>
      <c r="E59" s="10"/>
      <c r="G59" s="21"/>
      <c r="H59" s="21"/>
      <c r="I59" s="114"/>
      <c r="J59" s="114"/>
      <c r="K59" s="114"/>
      <c r="L59" s="114"/>
      <c r="M59" s="114"/>
    </row>
    <row r="60" spans="2:15">
      <c r="B60" s="68" t="s">
        <v>163</v>
      </c>
      <c r="C60" s="43" t="s">
        <v>0</v>
      </c>
      <c r="D60" s="110">
        <v>2</v>
      </c>
      <c r="E60" s="10" t="s">
        <v>164</v>
      </c>
      <c r="L60" t="s">
        <v>16</v>
      </c>
      <c r="M60" s="16">
        <f>SUM(I55:M55)/(2*D24)</f>
        <v>4.640987204962137</v>
      </c>
    </row>
    <row r="61" spans="2:15">
      <c r="B61" s="68" t="s">
        <v>163</v>
      </c>
      <c r="C61" s="43" t="s">
        <v>1</v>
      </c>
      <c r="D61" s="42">
        <f>D10*(D60/DT)</f>
        <v>4.7272727272727275</v>
      </c>
      <c r="E61" s="10"/>
    </row>
    <row r="62" spans="2:15">
      <c r="B62" s="68" t="s">
        <v>165</v>
      </c>
      <c r="C62" s="43" t="s">
        <v>49</v>
      </c>
      <c r="D62" s="108">
        <f>D61/D8</f>
        <v>7.2727272727272727E-3</v>
      </c>
      <c r="E62" s="10"/>
    </row>
    <row r="63" spans="2:15" ht="15.75" thickBot="1">
      <c r="B63" s="70" t="s">
        <v>163</v>
      </c>
      <c r="C63" s="71" t="s">
        <v>49</v>
      </c>
      <c r="D63" s="120">
        <f>D62*D9^0.5</f>
        <v>7.2727272727272727E-3</v>
      </c>
      <c r="E63" s="121" t="s">
        <v>148</v>
      </c>
      <c r="F63" s="7"/>
    </row>
    <row r="64" spans="2:15" ht="15.75" thickBot="1">
      <c r="B64" s="43"/>
      <c r="C64" s="43"/>
      <c r="D64" s="108"/>
      <c r="E64" s="94"/>
      <c r="F64" s="7"/>
    </row>
    <row r="65" spans="2:5">
      <c r="B65" s="99" t="s">
        <v>130</v>
      </c>
      <c r="C65" s="100" t="s">
        <v>45</v>
      </c>
      <c r="D65" s="101">
        <f>SUM(I39:M39)</f>
        <v>12.330229592991799</v>
      </c>
      <c r="E65" s="102"/>
    </row>
    <row r="66" spans="2:5">
      <c r="B66" s="95" t="s">
        <v>142</v>
      </c>
      <c r="C66" s="94" t="s">
        <v>45</v>
      </c>
      <c r="D66" s="109">
        <v>6.9</v>
      </c>
      <c r="E66" s="10"/>
    </row>
    <row r="67" spans="2:5">
      <c r="B67" s="95" t="s">
        <v>136</v>
      </c>
      <c r="C67" s="94" t="s">
        <v>45</v>
      </c>
      <c r="D67" s="98">
        <f>D66*(Mtot/D15)^2</f>
        <v>6.9</v>
      </c>
      <c r="E67" s="10"/>
    </row>
    <row r="68" spans="2:5">
      <c r="B68" s="95" t="s">
        <v>131</v>
      </c>
      <c r="C68" s="94" t="s">
        <v>45</v>
      </c>
      <c r="D68" s="109">
        <f>D65+D67</f>
        <v>19.230229592991797</v>
      </c>
      <c r="E68" s="10" t="s">
        <v>23</v>
      </c>
    </row>
    <row r="69" spans="2:5">
      <c r="B69" s="95" t="s">
        <v>149</v>
      </c>
      <c r="C69" s="94" t="s">
        <v>51</v>
      </c>
      <c r="D69" s="106">
        <f>(D16*D42*10^5/(D40*D54))/10^6</f>
        <v>3.9713479066355828</v>
      </c>
      <c r="E69" s="10"/>
    </row>
    <row r="70" spans="2:5">
      <c r="B70" s="95" t="s">
        <v>151</v>
      </c>
      <c r="C70" s="94" t="s">
        <v>51</v>
      </c>
      <c r="D70" s="106">
        <f>(D16*D51*10^5/(D40*D54))/10^6</f>
        <v>7.4133891692214409E-3</v>
      </c>
      <c r="E70" s="10"/>
    </row>
    <row r="71" spans="2:5">
      <c r="B71" s="95" t="s">
        <v>150</v>
      </c>
      <c r="C71" s="94" t="s">
        <v>51</v>
      </c>
      <c r="D71" s="106">
        <f>(D16*D68*10^5/(D40*D54))/10^6</f>
        <v>2.042682053023098</v>
      </c>
      <c r="E71" s="10"/>
    </row>
    <row r="72" spans="2:5" ht="15.75" thickBot="1">
      <c r="B72" s="103" t="s">
        <v>146</v>
      </c>
      <c r="C72" s="104" t="s">
        <v>51</v>
      </c>
      <c r="D72" s="105">
        <f>D69+D71</f>
        <v>6.0140299596586804</v>
      </c>
      <c r="E72" s="11"/>
    </row>
    <row r="73" spans="2:5" ht="15.75" thickBot="1">
      <c r="B73" s="94"/>
      <c r="C73" s="94"/>
      <c r="D73" s="96"/>
      <c r="E73" s="21"/>
    </row>
    <row r="74" spans="2:5">
      <c r="B74" s="92" t="s">
        <v>133</v>
      </c>
      <c r="C74" s="93" t="s">
        <v>1</v>
      </c>
      <c r="D74" s="97">
        <f>SUM(I53:M53)/1000</f>
        <v>3.5009925430605464</v>
      </c>
      <c r="E74" s="9"/>
    </row>
    <row r="75" spans="2:5">
      <c r="B75" s="95" t="s">
        <v>134</v>
      </c>
      <c r="C75" s="94" t="s">
        <v>1</v>
      </c>
      <c r="D75" s="96">
        <f>SUM(I54:M54)/1000</f>
        <v>3.1959519936998166</v>
      </c>
      <c r="E75" s="10"/>
    </row>
    <row r="76" spans="2:5" ht="15.75" thickBot="1">
      <c r="B76" s="103" t="s">
        <v>132</v>
      </c>
      <c r="C76" s="104" t="s">
        <v>1</v>
      </c>
      <c r="D76" s="105">
        <f>D74+D75</f>
        <v>6.6969445367603626</v>
      </c>
      <c r="E76" s="11"/>
    </row>
    <row r="78" spans="2:5">
      <c r="B78" s="34" t="s">
        <v>55</v>
      </c>
    </row>
    <row r="79" spans="2:5">
      <c r="B79" s="1" t="s">
        <v>53</v>
      </c>
    </row>
    <row r="80" spans="2:5">
      <c r="B80" s="31" t="s">
        <v>54</v>
      </c>
    </row>
    <row r="81" spans="2:2">
      <c r="B81" s="50" t="s">
        <v>93</v>
      </c>
    </row>
    <row r="82" spans="2:2">
      <c r="B82" s="60" t="s">
        <v>98</v>
      </c>
    </row>
    <row r="83" spans="2:2">
      <c r="B83" s="63" t="s">
        <v>114</v>
      </c>
    </row>
    <row r="84" spans="2:2">
      <c r="B84" s="79" t="s">
        <v>115</v>
      </c>
    </row>
  </sheetData>
  <conditionalFormatting sqref="O1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3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">
    <cfRule type="colorScale" priority="5">
      <colorScale>
        <cfvo type="min"/>
        <cfvo type="max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8:M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4:M2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M2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51:M51">
    <cfRule type="colorScale" priority="14">
      <colorScale>
        <cfvo type="min"/>
        <cfvo type="max"/>
        <color rgb="FFFCFCFF"/>
        <color rgb="FFF8696B"/>
      </colorScale>
    </cfRule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53:M53">
    <cfRule type="colorScale" priority="16">
      <colorScale>
        <cfvo type="min"/>
        <cfvo type="max"/>
        <color rgb="FFFCFCFF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54:M55">
    <cfRule type="colorScale" priority="18">
      <colorScale>
        <cfvo type="min"/>
        <cfvo type="max"/>
        <color rgb="FFFCFCFF"/>
        <color rgb="FFF8696B"/>
      </colorScale>
    </cfRule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1:M1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0:M1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4:M14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63BE7B"/>
        <color rgb="FFFFEF9C"/>
      </colorScale>
    </cfRule>
  </conditionalFormatting>
  <conditionalFormatting sqref="I18:M1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Design</vt:lpstr>
      <vt:lpstr>Interp.</vt:lpstr>
      <vt:lpstr>PipingK</vt:lpstr>
      <vt:lpstr>NoRadHL</vt:lpstr>
      <vt:lpstr>Graph</vt:lpstr>
      <vt:lpstr>Design!AvCp</vt:lpstr>
      <vt:lpstr>NoRadHL!AvCp</vt:lpstr>
      <vt:lpstr>Design!ColdCp</vt:lpstr>
      <vt:lpstr>NoRadHL!ColdCp</vt:lpstr>
      <vt:lpstr>Design!DT</vt:lpstr>
      <vt:lpstr>NoRadHL!DT</vt:lpstr>
      <vt:lpstr>Design!H</vt:lpstr>
      <vt:lpstr>NoRadHL!H</vt:lpstr>
      <vt:lpstr>NoRadHL!HalfM</vt:lpstr>
      <vt:lpstr>Design!HotCp</vt:lpstr>
      <vt:lpstr>NoRadHL!HotCp</vt:lpstr>
      <vt:lpstr>Design!Mtot</vt:lpstr>
      <vt:lpstr>NoRadHL!Mtot</vt:lpstr>
      <vt:lpstr>Design!P</vt:lpstr>
      <vt:lpstr>NoRadHL!P</vt:lpstr>
      <vt:lpstr>Design!Passes</vt:lpstr>
      <vt:lpstr>NoRadHL!Passes</vt:lpstr>
      <vt:lpstr>Design!Qtot</vt:lpstr>
      <vt:lpstr>NoRadHL!Qtot</vt:lpstr>
      <vt:lpstr>Design!Tc</vt:lpstr>
      <vt:lpstr>NoRadHL!Tc</vt:lpstr>
      <vt:lpstr>Design!Th</vt:lpstr>
      <vt:lpstr>NoRadHL!Th</vt:lpstr>
    </vt:vector>
  </TitlesOfParts>
  <Company>BSII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Ganany</dc:creator>
  <cp:lastModifiedBy>Joshua Golbert</cp:lastModifiedBy>
  <dcterms:created xsi:type="dcterms:W3CDTF">2013-06-24T12:23:06Z</dcterms:created>
  <dcterms:modified xsi:type="dcterms:W3CDTF">2018-03-15T14:02:38Z</dcterms:modified>
</cp:coreProperties>
</file>